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IT2700\gitsvn\Embedded-IT2700-ARM\doc\Canopen\"/>
    </mc:Choice>
  </mc:AlternateContent>
  <xr:revisionPtr revIDLastSave="0" documentId="13_ncr:1_{64D3C5D9-906A-4CB9-99F4-40AF14316AE0}" xr6:coauthVersionLast="47" xr6:coauthVersionMax="47" xr10:uidLastSave="{00000000-0000-0000-0000-000000000000}"/>
  <bookViews>
    <workbookView xWindow="-108" yWindow="-108" windowWidth="23256" windowHeight="12576" activeTab="1" xr2:uid="{CC89ABEA-F7E4-44B7-BA65-DAF4072C610E}"/>
  </bookViews>
  <sheets>
    <sheet name="History" sheetId="4" r:id="rId1"/>
    <sheet name="SDO" sheetId="1" r:id="rId2"/>
    <sheet name="TPDO DEF" sheetId="2" r:id="rId3"/>
    <sheet name="NM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8" i="1" l="1"/>
  <c r="J159" i="1"/>
  <c r="I159" i="1"/>
  <c r="K159" i="1"/>
  <c r="I158" i="1"/>
  <c r="K158" i="1"/>
  <c r="C158" i="1"/>
  <c r="C159" i="1"/>
  <c r="K40" i="1"/>
  <c r="K41" i="1"/>
  <c r="K42" i="1"/>
  <c r="K43" i="1"/>
  <c r="K44" i="1"/>
  <c r="K45" i="1"/>
  <c r="K46" i="1"/>
  <c r="K47" i="1"/>
  <c r="K48" i="1"/>
  <c r="K49" i="1"/>
  <c r="K50" i="1"/>
  <c r="K39" i="1"/>
  <c r="J40" i="1"/>
  <c r="J41" i="1"/>
  <c r="J42" i="1"/>
  <c r="J43" i="1"/>
  <c r="J44" i="1"/>
  <c r="J45" i="1"/>
  <c r="J46" i="1"/>
  <c r="J47" i="1"/>
  <c r="J48" i="1"/>
  <c r="J49" i="1"/>
  <c r="J50" i="1"/>
  <c r="J39" i="1"/>
  <c r="I40" i="1"/>
  <c r="I41" i="1"/>
  <c r="I42" i="1"/>
  <c r="I43" i="1"/>
  <c r="I44" i="1"/>
  <c r="I45" i="1"/>
  <c r="I46" i="1"/>
  <c r="I47" i="1"/>
  <c r="I48" i="1"/>
  <c r="I49" i="1"/>
  <c r="I50" i="1"/>
  <c r="I39" i="1"/>
  <c r="J38" i="1" l="1"/>
  <c r="J37" i="1"/>
  <c r="C37" i="1"/>
  <c r="I37" i="1" s="1"/>
  <c r="C38" i="1"/>
  <c r="K38" i="1" s="1"/>
  <c r="J33" i="1"/>
  <c r="K3" i="1"/>
  <c r="K37" i="1" l="1"/>
  <c r="I38" i="1"/>
  <c r="I20" i="1"/>
  <c r="I21" i="1"/>
  <c r="I22" i="1"/>
  <c r="I23" i="1"/>
  <c r="I24" i="1"/>
  <c r="I25" i="1"/>
  <c r="I26" i="1"/>
  <c r="I19" i="1"/>
  <c r="I18" i="1"/>
  <c r="I17" i="1"/>
  <c r="I16" i="1"/>
  <c r="I15" i="1"/>
  <c r="I11" i="1"/>
  <c r="I12" i="1"/>
  <c r="I13" i="1"/>
  <c r="I14" i="1"/>
  <c r="I10" i="1"/>
  <c r="I9" i="1"/>
  <c r="I8" i="1"/>
  <c r="I7" i="1"/>
  <c r="K147" i="1"/>
  <c r="I147" i="1"/>
  <c r="J147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8" i="1"/>
  <c r="J149" i="1"/>
  <c r="J150" i="1"/>
  <c r="J151" i="1"/>
  <c r="J152" i="1"/>
  <c r="J153" i="1"/>
  <c r="J154" i="1"/>
  <c r="J155" i="1"/>
  <c r="J156" i="1"/>
  <c r="J157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28" i="1"/>
  <c r="J29" i="1"/>
  <c r="J30" i="1"/>
  <c r="J31" i="1"/>
  <c r="J32" i="1"/>
  <c r="J34" i="1"/>
  <c r="J35" i="1"/>
  <c r="J36" i="1"/>
  <c r="J27" i="1"/>
  <c r="K133" i="1"/>
  <c r="I133" i="1"/>
  <c r="L34" i="1"/>
  <c r="K4" i="1"/>
  <c r="K5" i="1"/>
  <c r="K6" i="1"/>
  <c r="I4" i="1"/>
  <c r="I5" i="1"/>
  <c r="I6" i="1"/>
  <c r="I3" i="1"/>
  <c r="C168" i="1"/>
  <c r="I168" i="1" s="1"/>
  <c r="C169" i="1"/>
  <c r="I169" i="1" s="1"/>
  <c r="C170" i="1"/>
  <c r="I170" i="1" s="1"/>
  <c r="C171" i="1"/>
  <c r="I171" i="1" s="1"/>
  <c r="C172" i="1"/>
  <c r="I172" i="1" s="1"/>
  <c r="C138" i="1"/>
  <c r="K138" i="1" s="1"/>
  <c r="C119" i="1"/>
  <c r="I119" i="1" s="1"/>
  <c r="C120" i="1"/>
  <c r="K120" i="1" s="1"/>
  <c r="C121" i="1"/>
  <c r="I121" i="1" s="1"/>
  <c r="C122" i="1"/>
  <c r="I122" i="1" s="1"/>
  <c r="C98" i="1"/>
  <c r="K98" i="1" s="1"/>
  <c r="C99" i="1"/>
  <c r="I99" i="1" s="1"/>
  <c r="C100" i="1"/>
  <c r="I100" i="1" s="1"/>
  <c r="C101" i="1"/>
  <c r="I101" i="1" s="1"/>
  <c r="C102" i="1"/>
  <c r="I102" i="1" s="1"/>
  <c r="C103" i="1"/>
  <c r="I103" i="1" s="1"/>
  <c r="C104" i="1"/>
  <c r="I104" i="1" s="1"/>
  <c r="C105" i="1"/>
  <c r="I105" i="1" s="1"/>
  <c r="C106" i="1"/>
  <c r="I106" i="1" s="1"/>
  <c r="C67" i="1"/>
  <c r="K67" i="1" s="1"/>
  <c r="C68" i="1"/>
  <c r="I68" i="1" s="1"/>
  <c r="C69" i="1"/>
  <c r="I69" i="1" s="1"/>
  <c r="C70" i="1"/>
  <c r="I70" i="1" s="1"/>
  <c r="C71" i="1"/>
  <c r="I71" i="1" s="1"/>
  <c r="C72" i="1"/>
  <c r="I72" i="1" s="1"/>
  <c r="C73" i="1"/>
  <c r="I73" i="1" s="1"/>
  <c r="C74" i="1"/>
  <c r="I74" i="1" s="1"/>
  <c r="C75" i="1"/>
  <c r="I75" i="1" s="1"/>
  <c r="L36" i="1"/>
  <c r="C28" i="1"/>
  <c r="K28" i="1" s="1"/>
  <c r="C29" i="1"/>
  <c r="I29" i="1" s="1"/>
  <c r="C30" i="1"/>
  <c r="K30" i="1" s="1"/>
  <c r="C31" i="1"/>
  <c r="I31" i="1" s="1"/>
  <c r="C32" i="1"/>
  <c r="I32" i="1" s="1"/>
  <c r="C33" i="1"/>
  <c r="C34" i="1"/>
  <c r="I34" i="1" s="1"/>
  <c r="C35" i="1"/>
  <c r="K35" i="1" s="1"/>
  <c r="C36" i="1"/>
  <c r="K36" i="1" s="1"/>
  <c r="C27" i="1"/>
  <c r="I27" i="1" s="1"/>
  <c r="C145" i="1"/>
  <c r="I145" i="1" s="1"/>
  <c r="C146" i="1"/>
  <c r="K146" i="1" s="1"/>
  <c r="K132" i="1"/>
  <c r="I161" i="1"/>
  <c r="I160" i="1"/>
  <c r="I132" i="1"/>
  <c r="C163" i="1"/>
  <c r="I163" i="1" s="1"/>
  <c r="C164" i="1"/>
  <c r="I164" i="1" s="1"/>
  <c r="C165" i="1"/>
  <c r="I165" i="1" s="1"/>
  <c r="C166" i="1"/>
  <c r="I166" i="1" s="1"/>
  <c r="C167" i="1"/>
  <c r="I167" i="1" s="1"/>
  <c r="C173" i="1"/>
  <c r="I173" i="1" s="1"/>
  <c r="C174" i="1"/>
  <c r="I174" i="1" s="1"/>
  <c r="C175" i="1"/>
  <c r="I175" i="1" s="1"/>
  <c r="C162" i="1"/>
  <c r="I162" i="1" s="1"/>
  <c r="C157" i="1"/>
  <c r="I157" i="1" s="1"/>
  <c r="C149" i="1"/>
  <c r="I149" i="1" s="1"/>
  <c r="C150" i="1"/>
  <c r="I150" i="1" s="1"/>
  <c r="C151" i="1"/>
  <c r="I151" i="1" s="1"/>
  <c r="C152" i="1"/>
  <c r="I152" i="1" s="1"/>
  <c r="C153" i="1"/>
  <c r="I153" i="1" s="1"/>
  <c r="C154" i="1"/>
  <c r="I154" i="1" s="1"/>
  <c r="C155" i="1"/>
  <c r="I155" i="1" s="1"/>
  <c r="C156" i="1"/>
  <c r="I156" i="1" s="1"/>
  <c r="C148" i="1"/>
  <c r="I148" i="1" s="1"/>
  <c r="C143" i="1"/>
  <c r="I143" i="1" s="1"/>
  <c r="C139" i="1"/>
  <c r="I139" i="1" s="1"/>
  <c r="C140" i="1"/>
  <c r="I140" i="1" s="1"/>
  <c r="C141" i="1"/>
  <c r="I141" i="1" s="1"/>
  <c r="C142" i="1"/>
  <c r="I142" i="1" s="1"/>
  <c r="C144" i="1"/>
  <c r="I144" i="1" s="1"/>
  <c r="C137" i="1"/>
  <c r="I137" i="1" s="1"/>
  <c r="C135" i="1"/>
  <c r="I135" i="1" s="1"/>
  <c r="C136" i="1"/>
  <c r="I136" i="1" s="1"/>
  <c r="C134" i="1"/>
  <c r="I134" i="1" s="1"/>
  <c r="C124" i="1"/>
  <c r="I124" i="1" s="1"/>
  <c r="C125" i="1"/>
  <c r="I125" i="1" s="1"/>
  <c r="C126" i="1"/>
  <c r="I126" i="1" s="1"/>
  <c r="C127" i="1"/>
  <c r="I127" i="1" s="1"/>
  <c r="C128" i="1"/>
  <c r="I128" i="1" s="1"/>
  <c r="C129" i="1"/>
  <c r="I129" i="1" s="1"/>
  <c r="C130" i="1"/>
  <c r="I130" i="1" s="1"/>
  <c r="C131" i="1"/>
  <c r="I131" i="1" s="1"/>
  <c r="C123" i="1"/>
  <c r="I123" i="1" s="1"/>
  <c r="C52" i="1"/>
  <c r="I52" i="1" s="1"/>
  <c r="C53" i="1"/>
  <c r="I53" i="1" s="1"/>
  <c r="C54" i="1"/>
  <c r="I54" i="1" s="1"/>
  <c r="C55" i="1"/>
  <c r="I55" i="1" s="1"/>
  <c r="C56" i="1"/>
  <c r="I56" i="1" s="1"/>
  <c r="C57" i="1"/>
  <c r="I57" i="1" s="1"/>
  <c r="C58" i="1"/>
  <c r="I58" i="1" s="1"/>
  <c r="C59" i="1"/>
  <c r="I59" i="1" s="1"/>
  <c r="C60" i="1"/>
  <c r="I60" i="1" s="1"/>
  <c r="C61" i="1"/>
  <c r="I61" i="1" s="1"/>
  <c r="C62" i="1"/>
  <c r="I62" i="1" s="1"/>
  <c r="C63" i="1"/>
  <c r="I63" i="1" s="1"/>
  <c r="C64" i="1"/>
  <c r="I64" i="1" s="1"/>
  <c r="C65" i="1"/>
  <c r="I65" i="1" s="1"/>
  <c r="C66" i="1"/>
  <c r="I66" i="1" s="1"/>
  <c r="C51" i="1"/>
  <c r="I51" i="1" s="1"/>
  <c r="C112" i="1"/>
  <c r="I112" i="1" s="1"/>
  <c r="C113" i="1"/>
  <c r="I113" i="1" s="1"/>
  <c r="C108" i="1"/>
  <c r="I108" i="1" s="1"/>
  <c r="C109" i="1"/>
  <c r="I109" i="1" s="1"/>
  <c r="C110" i="1"/>
  <c r="I110" i="1" s="1"/>
  <c r="C111" i="1"/>
  <c r="I111" i="1" s="1"/>
  <c r="C114" i="1"/>
  <c r="I114" i="1" s="1"/>
  <c r="C115" i="1"/>
  <c r="I115" i="1" s="1"/>
  <c r="C116" i="1"/>
  <c r="I116" i="1" s="1"/>
  <c r="C117" i="1"/>
  <c r="I117" i="1" s="1"/>
  <c r="C118" i="1"/>
  <c r="I118" i="1" s="1"/>
  <c r="C107" i="1"/>
  <c r="I107" i="1" s="1"/>
  <c r="C77" i="1"/>
  <c r="I77" i="1" s="1"/>
  <c r="C78" i="1"/>
  <c r="I78" i="1" s="1"/>
  <c r="C79" i="1"/>
  <c r="I79" i="1" s="1"/>
  <c r="C80" i="1"/>
  <c r="I80" i="1" s="1"/>
  <c r="C81" i="1"/>
  <c r="I81" i="1" s="1"/>
  <c r="C82" i="1"/>
  <c r="I82" i="1" s="1"/>
  <c r="C83" i="1"/>
  <c r="I83" i="1" s="1"/>
  <c r="C84" i="1"/>
  <c r="I84" i="1" s="1"/>
  <c r="C85" i="1"/>
  <c r="I85" i="1" s="1"/>
  <c r="C86" i="1"/>
  <c r="I86" i="1" s="1"/>
  <c r="C87" i="1"/>
  <c r="I87" i="1" s="1"/>
  <c r="C88" i="1"/>
  <c r="I88" i="1" s="1"/>
  <c r="C89" i="1"/>
  <c r="I89" i="1" s="1"/>
  <c r="C90" i="1"/>
  <c r="I90" i="1" s="1"/>
  <c r="C91" i="1"/>
  <c r="I91" i="1" s="1"/>
  <c r="C92" i="1"/>
  <c r="I92" i="1" s="1"/>
  <c r="C93" i="1"/>
  <c r="I93" i="1" s="1"/>
  <c r="C94" i="1"/>
  <c r="I94" i="1" s="1"/>
  <c r="C95" i="1"/>
  <c r="I95" i="1" s="1"/>
  <c r="C96" i="1"/>
  <c r="I96" i="1" s="1"/>
  <c r="C97" i="1"/>
  <c r="I97" i="1" s="1"/>
  <c r="C76" i="1"/>
  <c r="I76" i="1" s="1"/>
  <c r="I33" i="1" l="1"/>
  <c r="K33" i="1"/>
  <c r="I138" i="1"/>
  <c r="K72" i="1"/>
  <c r="K101" i="1"/>
  <c r="I67" i="1"/>
  <c r="K105" i="1"/>
  <c r="K68" i="1"/>
  <c r="I120" i="1"/>
  <c r="K121" i="1"/>
  <c r="K70" i="1"/>
  <c r="K74" i="1"/>
  <c r="I98" i="1"/>
  <c r="K103" i="1"/>
  <c r="K119" i="1"/>
  <c r="K99" i="1"/>
  <c r="K71" i="1"/>
  <c r="K75" i="1"/>
  <c r="K100" i="1"/>
  <c r="K104" i="1"/>
  <c r="K69" i="1"/>
  <c r="K73" i="1"/>
  <c r="K102" i="1"/>
  <c r="K106" i="1"/>
  <c r="K122" i="1"/>
  <c r="I146" i="1"/>
  <c r="I30" i="1"/>
  <c r="K31" i="1"/>
  <c r="K145" i="1"/>
  <c r="K29" i="1"/>
  <c r="I35" i="1"/>
  <c r="K27" i="1"/>
  <c r="K34" i="1"/>
  <c r="I36" i="1"/>
  <c r="I28" i="1"/>
  <c r="K32" i="1"/>
  <c r="K66" i="1"/>
  <c r="K58" i="1"/>
  <c r="K142" i="1"/>
  <c r="K97" i="1"/>
  <c r="K154" i="1"/>
  <c r="K88" i="1"/>
  <c r="K80" i="1"/>
  <c r="K115" i="1"/>
  <c r="K123" i="1"/>
  <c r="K124" i="1"/>
  <c r="K62" i="1"/>
  <c r="K54" i="1"/>
  <c r="K93" i="1"/>
  <c r="K84" i="1"/>
  <c r="K107" i="1"/>
  <c r="K111" i="1"/>
  <c r="K128" i="1"/>
  <c r="K135" i="1"/>
  <c r="K148" i="1"/>
  <c r="K150" i="1"/>
  <c r="K61" i="1"/>
  <c r="K53" i="1"/>
  <c r="K92" i="1"/>
  <c r="K83" i="1"/>
  <c r="K118" i="1"/>
  <c r="K110" i="1"/>
  <c r="K127" i="1"/>
  <c r="K137" i="1"/>
  <c r="K157" i="1"/>
  <c r="K149" i="1"/>
  <c r="K60" i="1"/>
  <c r="K52" i="1"/>
  <c r="K91" i="1"/>
  <c r="K82" i="1"/>
  <c r="K117" i="1"/>
  <c r="K109" i="1"/>
  <c r="K126" i="1"/>
  <c r="K144" i="1"/>
  <c r="K156" i="1"/>
  <c r="K51" i="1"/>
  <c r="K59" i="1"/>
  <c r="K76" i="1"/>
  <c r="K90" i="1"/>
  <c r="K81" i="1"/>
  <c r="K116" i="1"/>
  <c r="K108" i="1"/>
  <c r="K125" i="1"/>
  <c r="K143" i="1"/>
  <c r="K155" i="1"/>
  <c r="K65" i="1"/>
  <c r="K57" i="1"/>
  <c r="K96" i="1"/>
  <c r="K87" i="1"/>
  <c r="K79" i="1"/>
  <c r="K114" i="1"/>
  <c r="K131" i="1"/>
  <c r="K141" i="1"/>
  <c r="K153" i="1"/>
  <c r="K64" i="1"/>
  <c r="K56" i="1"/>
  <c r="K95" i="1"/>
  <c r="K86" i="1"/>
  <c r="K78" i="1"/>
  <c r="K113" i="1"/>
  <c r="K130" i="1"/>
  <c r="K134" i="1"/>
  <c r="K140" i="1"/>
  <c r="K152" i="1"/>
  <c r="K63" i="1"/>
  <c r="K55" i="1"/>
  <c r="K94" i="1"/>
  <c r="K85" i="1"/>
  <c r="K77" i="1"/>
  <c r="K112" i="1"/>
  <c r="K129" i="1"/>
  <c r="K136" i="1"/>
  <c r="K139" i="1"/>
  <c r="K151" i="1"/>
  <c r="K89" i="1"/>
</calcChain>
</file>

<file path=xl/sharedStrings.xml><?xml version="1.0" encoding="utf-8"?>
<sst xmlns="http://schemas.openxmlformats.org/spreadsheetml/2006/main" count="954" uniqueCount="318">
  <si>
    <t>Object Index</t>
    <phoneticPr fontId="1" type="noConversion"/>
  </si>
  <si>
    <t>Object Sub-index</t>
    <phoneticPr fontId="1" type="noConversion"/>
  </si>
  <si>
    <t>0x01</t>
    <phoneticPr fontId="1" type="noConversion"/>
  </si>
  <si>
    <t>Object Name</t>
    <phoneticPr fontId="1" type="noConversion"/>
  </si>
  <si>
    <t>Note</t>
    <phoneticPr fontId="1" type="noConversion"/>
  </si>
  <si>
    <t>Function</t>
    <phoneticPr fontId="1" type="noConversion"/>
  </si>
  <si>
    <t>Current</t>
    <phoneticPr fontId="1" type="noConversion"/>
  </si>
  <si>
    <t>Current triggred</t>
    <phoneticPr fontId="1" type="noConversion"/>
  </si>
  <si>
    <t>Current mode</t>
    <phoneticPr fontId="1" type="noConversion"/>
  </si>
  <si>
    <t>Current range</t>
    <phoneticPr fontId="1" type="noConversion"/>
  </si>
  <si>
    <t>Current slew negative</t>
  </si>
  <si>
    <t>Current level</t>
    <phoneticPr fontId="1" type="noConversion"/>
  </si>
  <si>
    <t>Current slew couple</t>
    <phoneticPr fontId="1" type="noConversion"/>
  </si>
  <si>
    <t>Current slew negative max</t>
    <phoneticPr fontId="1" type="noConversion"/>
  </si>
  <si>
    <t>Sink res state</t>
    <phoneticPr fontId="1" type="noConversion"/>
  </si>
  <si>
    <t>float</t>
    <phoneticPr fontId="1" type="noConversion"/>
  </si>
  <si>
    <t>char</t>
    <phoneticPr fontId="1" type="noConversion"/>
  </si>
  <si>
    <t>Source voltage</t>
    <phoneticPr fontId="1" type="noConversion"/>
  </si>
  <si>
    <t>Voltage level</t>
    <phoneticPr fontId="1" type="noConversion"/>
  </si>
  <si>
    <t>Voltage limit couple</t>
    <phoneticPr fontId="1" type="noConversion"/>
  </si>
  <si>
    <t>Voltage</t>
    <phoneticPr fontId="1" type="noConversion"/>
  </si>
  <si>
    <t>Voltage high</t>
    <phoneticPr fontId="1" type="noConversion"/>
  </si>
  <si>
    <t>Voltage low</t>
    <phoneticPr fontId="1" type="noConversion"/>
  </si>
  <si>
    <t>Voltage mode</t>
    <phoneticPr fontId="1" type="noConversion"/>
  </si>
  <si>
    <t>Voltage range</t>
    <phoneticPr fontId="1" type="noConversion"/>
  </si>
  <si>
    <t>Voltage slew couple</t>
    <phoneticPr fontId="1" type="noConversion"/>
  </si>
  <si>
    <t>Voltage slew negative max</t>
    <phoneticPr fontId="1" type="noConversion"/>
  </si>
  <si>
    <t>inter resistance state</t>
    <phoneticPr fontId="1" type="noConversion"/>
  </si>
  <si>
    <t>inter resistance level</t>
    <phoneticPr fontId="1" type="noConversion"/>
  </si>
  <si>
    <t>Sink res level</t>
    <phoneticPr fontId="1" type="noConversion"/>
  </si>
  <si>
    <t>bsim_level</t>
    <phoneticPr fontId="1" type="noConversion"/>
  </si>
  <si>
    <t>inhibit mode</t>
    <phoneticPr fontId="1" type="noConversion"/>
  </si>
  <si>
    <t>inhibit von</t>
    <phoneticPr fontId="1" type="noConversion"/>
  </si>
  <si>
    <t>inhibit voff</t>
    <phoneticPr fontId="1" type="noConversion"/>
  </si>
  <si>
    <t>Data Format</t>
    <phoneticPr fontId="1" type="noConversion"/>
  </si>
  <si>
    <t>Source power</t>
    <phoneticPr fontId="1" type="noConversion"/>
  </si>
  <si>
    <t>Power level</t>
    <phoneticPr fontId="1" type="noConversion"/>
  </si>
  <si>
    <t>Power triggred</t>
    <phoneticPr fontId="1" type="noConversion"/>
  </si>
  <si>
    <t>Voltage triggred</t>
    <phoneticPr fontId="1" type="noConversion"/>
  </si>
  <si>
    <t>Power limit couple</t>
    <phoneticPr fontId="1" type="noConversion"/>
  </si>
  <si>
    <t>Power slew couple</t>
    <phoneticPr fontId="1" type="noConversion"/>
  </si>
  <si>
    <t>Power slew negative max</t>
    <phoneticPr fontId="1" type="noConversion"/>
  </si>
  <si>
    <t>Current slew positive</t>
  </si>
  <si>
    <t>Current slew time positive</t>
  </si>
  <si>
    <t>Voltage slew time positive</t>
  </si>
  <si>
    <t>Power slew positive</t>
  </si>
  <si>
    <t>Current slew time negative</t>
  </si>
  <si>
    <t>Voltage slew negative</t>
  </si>
  <si>
    <t>Voltage slew time negative</t>
  </si>
  <si>
    <t>Power slew negative</t>
  </si>
  <si>
    <t>Voltage slew positive</t>
    <phoneticPr fontId="1" type="noConversion"/>
  </si>
  <si>
    <t>Voltage slew positive max</t>
    <phoneticPr fontId="1" type="noConversion"/>
  </si>
  <si>
    <t>Current slew  positive max</t>
    <phoneticPr fontId="1" type="noConversion"/>
  </si>
  <si>
    <t>Current limit  positive</t>
    <phoneticPr fontId="1" type="noConversion"/>
  </si>
  <si>
    <t>Current limit negative</t>
    <phoneticPr fontId="1" type="noConversion"/>
  </si>
  <si>
    <t>Voltage limit positive</t>
    <phoneticPr fontId="1" type="noConversion"/>
  </si>
  <si>
    <t>Voltage limit negative</t>
    <phoneticPr fontId="1" type="noConversion"/>
  </si>
  <si>
    <t>Power limit positive</t>
    <phoneticPr fontId="1" type="noConversion"/>
  </si>
  <si>
    <t>Power limit negative</t>
    <phoneticPr fontId="1" type="noConversion"/>
  </si>
  <si>
    <t>Power slew positive max</t>
    <phoneticPr fontId="1" type="noConversion"/>
  </si>
  <si>
    <t>Power mode</t>
    <phoneticPr fontId="1" type="noConversion"/>
  </si>
  <si>
    <t>Power range</t>
    <phoneticPr fontId="1" type="noConversion"/>
  </si>
  <si>
    <t>int</t>
    <phoneticPr fontId="1" type="noConversion"/>
  </si>
  <si>
    <t>Source resistance</t>
    <phoneticPr fontId="1" type="noConversion"/>
  </si>
  <si>
    <t>Resistance level</t>
    <phoneticPr fontId="1" type="noConversion"/>
  </si>
  <si>
    <t>Resistance triggred</t>
    <phoneticPr fontId="1" type="noConversion"/>
  </si>
  <si>
    <t>Resistance slew positive</t>
    <phoneticPr fontId="1" type="noConversion"/>
  </si>
  <si>
    <t>Resistance slew negative</t>
    <phoneticPr fontId="1" type="noConversion"/>
  </si>
  <si>
    <t>Resistance slew positive max</t>
    <phoneticPr fontId="1" type="noConversion"/>
  </si>
  <si>
    <t>Resistance slew negative max</t>
    <phoneticPr fontId="1" type="noConversion"/>
  </si>
  <si>
    <t>Resistance mode</t>
    <phoneticPr fontId="1" type="noConversion"/>
  </si>
  <si>
    <t>Resistance range</t>
    <phoneticPr fontId="1" type="noConversion"/>
  </si>
  <si>
    <t>Source function</t>
    <phoneticPr fontId="1" type="noConversion"/>
  </si>
  <si>
    <t>Source file</t>
    <phoneticPr fontId="1" type="noConversion"/>
  </si>
  <si>
    <t>Save bank</t>
    <phoneticPr fontId="1" type="noConversion"/>
  </si>
  <si>
    <t>Recall bank</t>
    <phoneticPr fontId="1" type="noConversion"/>
  </si>
  <si>
    <t>Output</t>
    <phoneticPr fontId="1" type="noConversion"/>
  </si>
  <si>
    <t>Sense</t>
    <phoneticPr fontId="1" type="noConversion"/>
  </si>
  <si>
    <t>Onoff state</t>
    <phoneticPr fontId="1" type="noConversion"/>
  </si>
  <si>
    <t>Short mode</t>
    <phoneticPr fontId="1" type="noConversion"/>
  </si>
  <si>
    <t>Rise delay</t>
    <phoneticPr fontId="1" type="noConversion"/>
  </si>
  <si>
    <t>Fall delay</t>
    <phoneticPr fontId="1" type="noConversion"/>
  </si>
  <si>
    <t>Regular speed</t>
    <phoneticPr fontId="1" type="noConversion"/>
  </si>
  <si>
    <t>Voltage return zero level</t>
    <phoneticPr fontId="1" type="noConversion"/>
  </si>
  <si>
    <t>Relay lock state</t>
    <phoneticPr fontId="1" type="noConversion"/>
  </si>
  <si>
    <t>Sense state</t>
    <phoneticPr fontId="1" type="noConversion"/>
  </si>
  <si>
    <t>Sense current range</t>
    <phoneticPr fontId="1" type="noConversion"/>
  </si>
  <si>
    <t>Sense current auto range</t>
    <phoneticPr fontId="1" type="noConversion"/>
  </si>
  <si>
    <t>Sense voltage range</t>
    <phoneticPr fontId="1" type="noConversion"/>
  </si>
  <si>
    <t>Sense voltage auto range</t>
    <phoneticPr fontId="1" type="noConversion"/>
  </si>
  <si>
    <t>Sense sweep points</t>
    <phoneticPr fontId="1" type="noConversion"/>
  </si>
  <si>
    <t>Sense sweep offset points</t>
    <phoneticPr fontId="1" type="noConversion"/>
  </si>
  <si>
    <t>Sense time interval</t>
    <phoneticPr fontId="1" type="noConversion"/>
  </si>
  <si>
    <t>Sense aperture</t>
    <phoneticPr fontId="1" type="noConversion"/>
  </si>
  <si>
    <t>Sense nplc</t>
    <phoneticPr fontId="1" type="noConversion"/>
  </si>
  <si>
    <t>Status</t>
    <phoneticPr fontId="1" type="noConversion"/>
  </si>
  <si>
    <t>0x02</t>
    <phoneticPr fontId="1" type="noConversion"/>
  </si>
  <si>
    <t>Operation register</t>
    <phoneticPr fontId="1" type="noConversion"/>
  </si>
  <si>
    <t>Questionable register</t>
    <phoneticPr fontId="1" type="noConversion"/>
  </si>
  <si>
    <t>Meter</t>
    <phoneticPr fontId="1" type="noConversion"/>
  </si>
  <si>
    <t>Power</t>
    <phoneticPr fontId="1" type="noConversion"/>
  </si>
  <si>
    <t>Current acdc</t>
    <phoneticPr fontId="1" type="noConversion"/>
  </si>
  <si>
    <t>Voltage acdc</t>
    <phoneticPr fontId="1" type="noConversion"/>
  </si>
  <si>
    <t>Current max</t>
    <phoneticPr fontId="1" type="noConversion"/>
  </si>
  <si>
    <t>Voltage max</t>
    <phoneticPr fontId="1" type="noConversion"/>
  </si>
  <si>
    <t>Power max</t>
    <phoneticPr fontId="1" type="noConversion"/>
  </si>
  <si>
    <t>Ahour</t>
    <phoneticPr fontId="1" type="noConversion"/>
  </si>
  <si>
    <t>Whour</t>
    <phoneticPr fontId="1" type="noConversion"/>
  </si>
  <si>
    <t>On Time</t>
    <phoneticPr fontId="1" type="noConversion"/>
  </si>
  <si>
    <t>Available models</t>
    <phoneticPr fontId="1" type="noConversion"/>
  </si>
  <si>
    <t>ALL</t>
    <phoneticPr fontId="1" type="noConversion"/>
  </si>
  <si>
    <t>PS2Q</t>
    <phoneticPr fontId="1" type="noConversion"/>
  </si>
  <si>
    <t>PS2Q,SMU</t>
    <phoneticPr fontId="1" type="noConversion"/>
  </si>
  <si>
    <t>SMU</t>
    <phoneticPr fontId="1" type="noConversion"/>
  </si>
  <si>
    <t>PS2Q,PS1Q,SMU</t>
    <phoneticPr fontId="1" type="noConversion"/>
  </si>
  <si>
    <t>LD1Q</t>
    <phoneticPr fontId="1" type="noConversion"/>
  </si>
  <si>
    <t xml:space="preserve"> Download Request Example(HEX)</t>
    <phoneticPr fontId="1" type="noConversion"/>
  </si>
  <si>
    <t>Upload Request  Example(HEX)</t>
    <phoneticPr fontId="1" type="noConversion"/>
  </si>
  <si>
    <t>Bytes</t>
    <phoneticPr fontId="1" type="noConversion"/>
  </si>
  <si>
    <t>Current limit couple</t>
    <phoneticPr fontId="1" type="noConversion"/>
  </si>
  <si>
    <t>RO</t>
    <phoneticPr fontId="1" type="noConversion"/>
  </si>
  <si>
    <t>0:Off 1:live 2:latching</t>
    <phoneticPr fontId="1" type="noConversion"/>
  </si>
  <si>
    <t>0:Off 1:On</t>
    <phoneticPr fontId="1" type="noConversion"/>
  </si>
  <si>
    <t>0:Low 1:high1 2:high2 3:high3</t>
    <phoneticPr fontId="1" type="noConversion"/>
  </si>
  <si>
    <t xml:space="preserve">Source current
</t>
    <phoneticPr fontId="1" type="noConversion"/>
  </si>
  <si>
    <t>Access</t>
    <phoneticPr fontId="1" type="noConversion"/>
  </si>
  <si>
    <t>RW</t>
    <phoneticPr fontId="1" type="noConversion"/>
  </si>
  <si>
    <t>0x3002
[+(channel-1)*0x100]
CH1:0x3002
CH2:0x3102
CH3:0x3202
CH4:0x3302
CH5:0x3402
CH6:0x3502
CH7:0x3602
CH8:0x3702</t>
    <phoneticPr fontId="1" type="noConversion"/>
  </si>
  <si>
    <t>0x3003
[+(channel-1)*0x100]
CH1:0x3003
CH2:0x3103
CH3:0x3203
CH4:0x3303
CH5:0x3403
CH6:0x3503
CH7:0x3603
CH8:0x3703</t>
    <phoneticPr fontId="1" type="noConversion"/>
  </si>
  <si>
    <t>0x3004
[+(channel-1)*0x100]
CH1:0x3004
CH2:0x3104
CH3:0x3204
CH4:0x3304
CH5:0x3404
CH6:0x3504
CH7:0x3604
CH8:0x3704</t>
    <phoneticPr fontId="1" type="noConversion"/>
  </si>
  <si>
    <t>0x3005
[+(channel-1)*0x100]
CH1:0x3005
CH2:0x3105
CH3:0x3205
CH4:0x3305
CH5:0x3405
CH6:0x3505
CH7:0x3605
CH8:0x3705</t>
    <phoneticPr fontId="1" type="noConversion"/>
  </si>
  <si>
    <t>0x3006
[+(channel-1)*0x100]
CH1:0x3006
CH2:0x3106
CH3:0x3206
CH4:0x3306
CH5:0x3406
CH6:0x3506
CH7:0x3606
CH8:0x3706</t>
    <phoneticPr fontId="1" type="noConversion"/>
  </si>
  <si>
    <t>0x3007
[+(channel-1)*0x100]
CH1:0x3007
CH2:0x3107
CH3:0x3207
CH4:0x3307
CH5:0x3407
CH6:0x3507
CH7:0x3607
CH8:0x3707</t>
    <phoneticPr fontId="1" type="noConversion"/>
  </si>
  <si>
    <t>0x3008
[+(channel-1)*0x100]
CH1:0x3008
CH2:0x3108
CH3:0x3208
CH4:0x3308
CH5:0x3408
CH6:0x3508
CH7:0x3608
CH8:0x3708</t>
    <phoneticPr fontId="1" type="noConversion"/>
  </si>
  <si>
    <t>0x3009
[+(channel-1)*0x100]
CH1:0x3009
CH2:0x3109
CH3:0x3209
CH4:0x3309
CH5:0x3409
CH6:0x3509
CH7:0x3609
CH8:0x3709</t>
    <phoneticPr fontId="1" type="noConversion"/>
  </si>
  <si>
    <t>0x300B
[+(channel-1)*0x100]
CH1:0x300B
CH2:0x310B
CH3:0x320B
CH4:0x330B
CH5:0x340B
CH6:0x350B
CH7:0x360B
CH8:0x370B</t>
    <phoneticPr fontId="1" type="noConversion"/>
  </si>
  <si>
    <t>0x3001</t>
    <phoneticPr fontId="1" type="noConversion"/>
  </si>
  <si>
    <t>Reset</t>
    <phoneticPr fontId="1" type="noConversion"/>
  </si>
  <si>
    <t>Power on mode</t>
    <phoneticPr fontId="1" type="noConversion"/>
  </si>
  <si>
    <t>Source slope type</t>
    <phoneticPr fontId="1" type="noConversion"/>
  </si>
  <si>
    <t>Load current symbol</t>
    <phoneticPr fontId="1" type="noConversion"/>
  </si>
  <si>
    <t>Output couple</t>
    <phoneticPr fontId="1" type="noConversion"/>
  </si>
  <si>
    <t>Output couple mode</t>
    <phoneticPr fontId="1" type="noConversion"/>
  </si>
  <si>
    <t>Output couple offset</t>
    <phoneticPr fontId="1" type="noConversion"/>
  </si>
  <si>
    <t>Inhibit couple</t>
    <phoneticPr fontId="1" type="noConversion"/>
  </si>
  <si>
    <t>Protection couple</t>
    <phoneticPr fontId="1" type="noConversion"/>
  </si>
  <si>
    <t>Foldback mode</t>
    <phoneticPr fontId="1" type="noConversion"/>
  </si>
  <si>
    <t>Foldback delay</t>
    <phoneticPr fontId="1" type="noConversion"/>
  </si>
  <si>
    <t>0:Off 1:CV 2:CC</t>
    <phoneticPr fontId="1" type="noConversion"/>
  </si>
  <si>
    <t>Common</t>
    <phoneticPr fontId="1" type="noConversion"/>
  </si>
  <si>
    <t>0:Reset 1:Last 2:Last+off</t>
    <phoneticPr fontId="1" type="noConversion"/>
  </si>
  <si>
    <t>0:Rate 1:Time</t>
    <phoneticPr fontId="1" type="noConversion"/>
  </si>
  <si>
    <t>0:+ 1:-</t>
    <phoneticPr fontId="1" type="noConversion"/>
  </si>
  <si>
    <t>bit[0-7]:channel 0-7</t>
    <phoneticPr fontId="1" type="noConversion"/>
  </si>
  <si>
    <t>0:Auto 1:Manual</t>
    <phoneticPr fontId="1" type="noConversion"/>
  </si>
  <si>
    <t>0:Latching 1:Live 2:Off</t>
    <phoneticPr fontId="1" type="noConversion"/>
  </si>
  <si>
    <t>Over current protect state</t>
    <phoneticPr fontId="1" type="noConversion"/>
  </si>
  <si>
    <t>Over current protect negative</t>
    <phoneticPr fontId="1" type="noConversion"/>
  </si>
  <si>
    <t>Over current protect positive</t>
    <phoneticPr fontId="1" type="noConversion"/>
  </si>
  <si>
    <t>Over current protect delay</t>
    <phoneticPr fontId="1" type="noConversion"/>
  </si>
  <si>
    <t>Under current protect state</t>
    <phoneticPr fontId="1" type="noConversion"/>
  </si>
  <si>
    <t>Under current protect positive</t>
    <phoneticPr fontId="1" type="noConversion"/>
  </si>
  <si>
    <t>Under current protect negative</t>
    <phoneticPr fontId="1" type="noConversion"/>
  </si>
  <si>
    <t>Under current protect delay</t>
    <phoneticPr fontId="1" type="noConversion"/>
  </si>
  <si>
    <t>Under current protect warm</t>
    <phoneticPr fontId="1" type="noConversion"/>
  </si>
  <si>
    <t>Over voltage protecton state</t>
    <phoneticPr fontId="1" type="noConversion"/>
  </si>
  <si>
    <t>Over voltage protecton positive</t>
    <phoneticPr fontId="1" type="noConversion"/>
  </si>
  <si>
    <t>Over voltage protecton negative</t>
    <phoneticPr fontId="1" type="noConversion"/>
  </si>
  <si>
    <t>Over voltage protecton delay</t>
    <phoneticPr fontId="1" type="noConversion"/>
  </si>
  <si>
    <t>Under voltage protection state</t>
    <phoneticPr fontId="1" type="noConversion"/>
  </si>
  <si>
    <t>Under voltage protection positive</t>
    <phoneticPr fontId="1" type="noConversion"/>
  </si>
  <si>
    <t>Under voltage protection negative</t>
    <phoneticPr fontId="1" type="noConversion"/>
  </si>
  <si>
    <t>Under voltage protection delay</t>
    <phoneticPr fontId="1" type="noConversion"/>
  </si>
  <si>
    <t>Under voltage protection warm</t>
    <phoneticPr fontId="1" type="noConversion"/>
  </si>
  <si>
    <t>Over power protect state</t>
    <phoneticPr fontId="1" type="noConversion"/>
  </si>
  <si>
    <t>Over power protect positive</t>
    <phoneticPr fontId="1" type="noConversion"/>
  </si>
  <si>
    <t>Over power protect negative</t>
    <phoneticPr fontId="1" type="noConversion"/>
  </si>
  <si>
    <t>Over power protect delay</t>
    <phoneticPr fontId="1" type="noConversion"/>
  </si>
  <si>
    <t xml:space="preserve">Protect Clear </t>
    <phoneticPr fontId="1" type="noConversion"/>
  </si>
  <si>
    <t>Current min</t>
    <phoneticPr fontId="1" type="noConversion"/>
  </si>
  <si>
    <t>Voltage min</t>
    <phoneticPr fontId="1" type="noConversion"/>
  </si>
  <si>
    <t>Power min</t>
    <phoneticPr fontId="1" type="noConversion"/>
  </si>
  <si>
    <t>PDO Object</t>
    <phoneticPr fontId="1" type="noConversion"/>
  </si>
  <si>
    <t>TPDO1
(0x180+ID)</t>
    <phoneticPr fontId="1" type="noConversion"/>
  </si>
  <si>
    <t>TPDO Data Example(HEX)</t>
    <phoneticPr fontId="1" type="noConversion"/>
  </si>
  <si>
    <t>TPDO2
(0x280+ID)</t>
    <phoneticPr fontId="1" type="noConversion"/>
  </si>
  <si>
    <t>Operation register</t>
  </si>
  <si>
    <t>Questionable register</t>
  </si>
  <si>
    <t>Default only links channel 1</t>
    <phoneticPr fontId="1" type="noConversion"/>
  </si>
  <si>
    <t>TPDO3
(0x380+ID)</t>
    <phoneticPr fontId="1" type="noConversion"/>
  </si>
  <si>
    <t>TPDO4
(0x480+ID)</t>
    <phoneticPr fontId="1" type="noConversion"/>
  </si>
  <si>
    <t>Meter voltage</t>
    <phoneticPr fontId="1" type="noConversion"/>
  </si>
  <si>
    <t>Meter current</t>
    <phoneticPr fontId="1" type="noConversion"/>
  </si>
  <si>
    <t>Channel1 onoff</t>
    <phoneticPr fontId="1" type="noConversion"/>
  </si>
  <si>
    <t>Channel2 onoff</t>
    <phoneticPr fontId="1" type="noConversion"/>
  </si>
  <si>
    <t>Channel3 onoff</t>
    <phoneticPr fontId="1" type="noConversion"/>
  </si>
  <si>
    <t>Channel4 onoff</t>
    <phoneticPr fontId="1" type="noConversion"/>
  </si>
  <si>
    <t>Channel5 onoff</t>
    <phoneticPr fontId="1" type="noConversion"/>
  </si>
  <si>
    <t>Channel6 onoff</t>
    <phoneticPr fontId="1" type="noConversion"/>
  </si>
  <si>
    <t>Channel7 onoff</t>
    <phoneticPr fontId="1" type="noConversion"/>
  </si>
  <si>
    <t>Channel8 onoff</t>
    <phoneticPr fontId="1" type="noConversion"/>
  </si>
  <si>
    <t>Channel1 sense</t>
    <phoneticPr fontId="1" type="noConversion"/>
  </si>
  <si>
    <t>Channel2 sense</t>
  </si>
  <si>
    <t>Channel3 sense</t>
  </si>
  <si>
    <t>Channel4 sense</t>
  </si>
  <si>
    <t>Channel5 sense</t>
  </si>
  <si>
    <t>Channel6 sense</t>
  </si>
  <si>
    <t>Channel7 sense</t>
  </si>
  <si>
    <t>Channel8 sense</t>
  </si>
  <si>
    <t>TPDO DEFAULT</t>
    <phoneticPr fontId="1" type="noConversion"/>
  </si>
  <si>
    <t>Only valid if the channel exists</t>
    <phoneticPr fontId="1" type="noConversion"/>
  </si>
  <si>
    <t>channel 2,5 on;channel 1,3,4,6,7,8 off
00 01 00 00 01 00 00 00</t>
    <phoneticPr fontId="1" type="noConversion"/>
  </si>
  <si>
    <t>5V2A: 00 00 a0 40 00 00 00 40</t>
    <phoneticPr fontId="1" type="noConversion"/>
  </si>
  <si>
    <t xml:space="preserve">00 00 00 00 00 00 00 00 </t>
    <phoneticPr fontId="1" type="noConversion"/>
  </si>
  <si>
    <t>SDO报文(0x600+ID)</t>
    <phoneticPr fontId="1" type="noConversion"/>
  </si>
  <si>
    <t>NMT Command</t>
    <phoneticPr fontId="1" type="noConversion"/>
  </si>
  <si>
    <t>Start Remote Node</t>
    <phoneticPr fontId="1" type="noConversion"/>
  </si>
  <si>
    <t>Stop Remote Node</t>
    <phoneticPr fontId="1" type="noConversion"/>
  </si>
  <si>
    <t>CS</t>
    <phoneticPr fontId="1" type="noConversion"/>
  </si>
  <si>
    <t>01</t>
    <phoneticPr fontId="1" type="noConversion"/>
  </si>
  <si>
    <t>02</t>
    <phoneticPr fontId="1" type="noConversion"/>
  </si>
  <si>
    <t>Control  Example(HEX)</t>
    <phoneticPr fontId="1" type="noConversion"/>
  </si>
  <si>
    <t>01 01</t>
    <phoneticPr fontId="1" type="noConversion"/>
  </si>
  <si>
    <t>02 01</t>
    <phoneticPr fontId="1" type="noConversion"/>
  </si>
  <si>
    <t>NMT Module Control(0x0)</t>
    <phoneticPr fontId="1" type="noConversion"/>
  </si>
  <si>
    <t>CS:01  ID:01</t>
    <phoneticPr fontId="1" type="noConversion"/>
  </si>
  <si>
    <t>CS:02  ID:01</t>
    <phoneticPr fontId="1" type="noConversion"/>
  </si>
  <si>
    <t>0x1800</t>
  </si>
  <si>
    <t>0x05</t>
    <phoneticPr fontId="1" type="noConversion"/>
  </si>
  <si>
    <t>TPDO1 Event Timer</t>
    <phoneticPr fontId="1" type="noConversion"/>
  </si>
  <si>
    <t>0x1801</t>
    <phoneticPr fontId="1" type="noConversion"/>
  </si>
  <si>
    <t>0x1802</t>
    <phoneticPr fontId="1" type="noConversion"/>
  </si>
  <si>
    <t>0x1803</t>
    <phoneticPr fontId="1" type="noConversion"/>
  </si>
  <si>
    <t>TPDO2 Event Timer</t>
  </si>
  <si>
    <t>TPDO3 Event Timer</t>
  </si>
  <si>
    <t>TPDO4 Event Timer</t>
  </si>
  <si>
    <t>TPDO Parameter</t>
    <phoneticPr fontId="1" type="noConversion"/>
  </si>
  <si>
    <t>Unit:ms,0 is stop</t>
    <phoneticPr fontId="1" type="noConversion"/>
  </si>
  <si>
    <t>Unit:s</t>
    <phoneticPr fontId="1" type="noConversion"/>
  </si>
  <si>
    <t>Inhibit couple mode</t>
    <phoneticPr fontId="1" type="noConversion"/>
  </si>
  <si>
    <t>V0.1</t>
    <phoneticPr fontId="1" type="noConversion"/>
  </si>
  <si>
    <t>初次创建</t>
    <phoneticPr fontId="1" type="noConversion"/>
  </si>
  <si>
    <t>PS4Q=0,PS2Q=1,PS1Q=2,
CCLOAD=3,CVLOAD=4,CRLOAD=5,
VMETER=6,AMETER=7,
BEMU=8,BCHARGE=9,</t>
    <phoneticPr fontId="1" type="noConversion"/>
  </si>
  <si>
    <t>Emulation</t>
    <phoneticPr fontId="1" type="noConversion"/>
  </si>
  <si>
    <t>Set value to 500</t>
    <phoneticPr fontId="1" type="noConversion"/>
  </si>
  <si>
    <t>V0.2</t>
    <phoneticPr fontId="1" type="noConversion"/>
  </si>
  <si>
    <t>增加SDO中的Emulation</t>
    <phoneticPr fontId="1" type="noConversion"/>
  </si>
  <si>
    <t>版本</t>
    <phoneticPr fontId="1" type="noConversion"/>
  </si>
  <si>
    <t>修改内容</t>
    <phoneticPr fontId="1" type="noConversion"/>
  </si>
  <si>
    <t>修订日期</t>
    <phoneticPr fontId="1" type="noConversion"/>
  </si>
  <si>
    <t>负责人</t>
    <phoneticPr fontId="1" type="noConversion"/>
  </si>
  <si>
    <t>0x300A
[+(channel-1)*0x100]
CH1:0x300A
CH2:0x310A
CH3:0x320A
CH4:0x330A
CH5:0x340A
CH6:0x350A
CH7:0x360A
CH8:0x370A</t>
    <phoneticPr fontId="1" type="noConversion"/>
  </si>
  <si>
    <t>PS2Q,PS1Q</t>
    <phoneticPr fontId="1" type="noConversion"/>
  </si>
  <si>
    <t>PS2Q,PS1Q,LD1Q</t>
    <phoneticPr fontId="1" type="noConversion"/>
  </si>
  <si>
    <t>0X0B</t>
    <phoneticPr fontId="1" type="noConversion"/>
  </si>
  <si>
    <t>Turn Off Mode</t>
    <phoneticPr fontId="1" type="noConversion"/>
  </si>
  <si>
    <t>0:Highz 1:Lowz</t>
    <phoneticPr fontId="1" type="noConversion"/>
  </si>
  <si>
    <t>V0.3</t>
    <phoneticPr fontId="1" type="noConversion"/>
  </si>
  <si>
    <t>1.增加SDO中的Turn Off Mode
2.修改power limit positive可用范围
3.修改power limit negative可用范围
4.修改power limit couple 可用范围</t>
    <phoneticPr fontId="1" type="noConversion"/>
  </si>
  <si>
    <t>0x1A00</t>
    <phoneticPr fontId="1" type="noConversion"/>
  </si>
  <si>
    <t>0x1A01</t>
    <phoneticPr fontId="1" type="noConversion"/>
  </si>
  <si>
    <t>0x1A02</t>
    <phoneticPr fontId="1" type="noConversion"/>
  </si>
  <si>
    <t>0x1A03</t>
    <phoneticPr fontId="1" type="noConversion"/>
  </si>
  <si>
    <t>0x03</t>
    <phoneticPr fontId="1" type="noConversion"/>
  </si>
  <si>
    <t>0x04</t>
    <phoneticPr fontId="1" type="noConversion"/>
  </si>
  <si>
    <t>0x06</t>
    <phoneticPr fontId="1" type="noConversion"/>
  </si>
  <si>
    <t>0x07</t>
    <phoneticPr fontId="1" type="noConversion"/>
  </si>
  <si>
    <t>0x08</t>
    <phoneticPr fontId="1" type="noConversion"/>
  </si>
  <si>
    <t>Transmit PDO 1 Mapping</t>
    <phoneticPr fontId="1" type="noConversion"/>
  </si>
  <si>
    <t>Transmit PDO 2 Mapping</t>
    <phoneticPr fontId="1" type="noConversion"/>
  </si>
  <si>
    <t>Transmit PDO 3 Mapping</t>
    <phoneticPr fontId="1" type="noConversion"/>
  </si>
  <si>
    <t>Transmit PDO 4 Mapping</t>
    <phoneticPr fontId="1" type="noConversion"/>
  </si>
  <si>
    <t>Resistance  slew couple</t>
    <phoneticPr fontId="1" type="noConversion"/>
  </si>
  <si>
    <t>V0.4</t>
    <phoneticPr fontId="1" type="noConversion"/>
  </si>
  <si>
    <t>修改读取TPDO示例</t>
    <phoneticPr fontId="1" type="noConversion"/>
  </si>
  <si>
    <t>Delete bank</t>
    <phoneticPr fontId="1" type="noConversion"/>
  </si>
  <si>
    <t>Group A</t>
    <phoneticPr fontId="1" type="noConversion"/>
  </si>
  <si>
    <t>Group B</t>
    <phoneticPr fontId="1" type="noConversion"/>
  </si>
  <si>
    <t>V0.5</t>
    <phoneticPr fontId="1" type="noConversion"/>
  </si>
  <si>
    <t>WZL</t>
    <phoneticPr fontId="1" type="noConversion"/>
  </si>
  <si>
    <t>0x3011</t>
    <phoneticPr fontId="1" type="noConversion"/>
  </si>
  <si>
    <t>PIN1 Funciton</t>
    <phoneticPr fontId="1" type="noConversion"/>
  </si>
  <si>
    <t>PIN2 Funciton</t>
    <phoneticPr fontId="1" type="noConversion"/>
  </si>
  <si>
    <t>PIN3 Funciton</t>
    <phoneticPr fontId="1" type="noConversion"/>
  </si>
  <si>
    <t>PIN4 Funciton</t>
    <phoneticPr fontId="1" type="noConversion"/>
  </si>
  <si>
    <t>PIN5 Funciton</t>
    <phoneticPr fontId="1" type="noConversion"/>
  </si>
  <si>
    <t>PIN6 Funciton</t>
    <phoneticPr fontId="1" type="noConversion"/>
  </si>
  <si>
    <t>PIN7 Funciton</t>
    <phoneticPr fontId="1" type="noConversion"/>
  </si>
  <si>
    <t>Output data</t>
    <phoneticPr fontId="1" type="noConversion"/>
  </si>
  <si>
    <t>Input data</t>
    <phoneticPr fontId="1" type="noConversion"/>
  </si>
  <si>
    <t>PIN4 onoffstatus channel</t>
    <phoneticPr fontId="1" type="noConversion"/>
  </si>
  <si>
    <t>Pluse width</t>
    <phoneticPr fontId="1" type="noConversion"/>
  </si>
  <si>
    <t xml:space="preserve">POLarity </t>
    <phoneticPr fontId="1" type="noConversion"/>
  </si>
  <si>
    <t>Digital IO</t>
    <phoneticPr fontId="1" type="noConversion"/>
  </si>
  <si>
    <t>0X08</t>
    <phoneticPr fontId="1" type="noConversion"/>
  </si>
  <si>
    <t>0X09</t>
    <phoneticPr fontId="1" type="noConversion"/>
  </si>
  <si>
    <t>0X0A</t>
    <phoneticPr fontId="1" type="noConversion"/>
  </si>
  <si>
    <t>0X0C</t>
    <phoneticPr fontId="1" type="noConversion"/>
  </si>
  <si>
    <t>4:Digital-out,5:Digital-in,9:Trig-in,10:Trig-out,2:Inhibit</t>
    <phoneticPr fontId="1" type="noConversion"/>
  </si>
  <si>
    <t>4:Digital-out,5:Digital-in,9:Trig-in,10:Trig-out,1:PS</t>
    <phoneticPr fontId="1" type="noConversion"/>
  </si>
  <si>
    <t>4:Digital-out,5:Digital-in,9:Trig-in,10:Trig-out,8:PS-clear</t>
    <phoneticPr fontId="1" type="noConversion"/>
  </si>
  <si>
    <t>4:Digital-out,5:Digital-in,9:Trig-in,10:Trig-out,0:Onoff_status</t>
    <phoneticPr fontId="1" type="noConversion"/>
  </si>
  <si>
    <t>4:Digital-out,5:Digital-in,9:Trig-in,10:Trig-out,11:Syc-in,12:Sync-out</t>
    <phoneticPr fontId="1" type="noConversion"/>
  </si>
  <si>
    <t>4:Digital-out,5:Digital-in,9:Trig-in,10:Trig-out,6:On-couple</t>
    <phoneticPr fontId="1" type="noConversion"/>
  </si>
  <si>
    <t>4:Digital-out,5:Digital-in,9:Trig-in,10:Trig-out,7:Off-couple</t>
    <phoneticPr fontId="1" type="noConversion"/>
  </si>
  <si>
    <t>bit[0-6]:pin1-7,0:Postive,1:Negative</t>
    <phoneticPr fontId="1" type="noConversion"/>
  </si>
  <si>
    <t>bit[0-6]:pin1-7 input status,Only valid when the pin function is of an input type.</t>
    <phoneticPr fontId="1" type="noConversion"/>
  </si>
  <si>
    <t>bit[0-6]:pin1-7 output data,Valid only when the pin function is Output</t>
    <phoneticPr fontId="1" type="noConversion"/>
  </si>
  <si>
    <t>1-7</t>
    <phoneticPr fontId="1" type="noConversion"/>
  </si>
  <si>
    <t>unit:us</t>
    <phoneticPr fontId="1" type="noConversion"/>
  </si>
  <si>
    <t>增加group相关index
增加Digital IO相关index</t>
    <phoneticPr fontId="1" type="noConversion"/>
  </si>
  <si>
    <t>Energy auto clear state</t>
    <phoneticPr fontId="1" type="noConversion"/>
  </si>
  <si>
    <t>Energy clear</t>
    <phoneticPr fontId="1" type="noConversion"/>
  </si>
  <si>
    <t>PS2Q/PS4Q:
0:current 1:voltage
LD1Q:
0:current 1:voltage
2:power 3:resistance
4:CC_CV 5:CP_CV
6:CR_CV 7:CC_CR
8:CC_CR_CP_CV
9:BSIM</t>
    <phoneticPr fontId="1" type="noConversion"/>
  </si>
  <si>
    <t>bit0:ACQ-WTG,bit1:TRAN-WTG,bit2:DLOG-WTG,
bit3:ACQ-Active,bit4:TRAN-Active,bit5:DLOG- Active,
bit6:OFF,bit7:CC,bit8:CV,bit9:CW,bit10:CR,
bit11:CC-,bit12:CP-,bit13:ON_Delay,bit14:OFF_Delay,bit15:UVI</t>
    <phoneticPr fontId="1" type="noConversion"/>
  </si>
  <si>
    <t>bit0:OV,bit1:OC,bit2:OP,bit3:UV,
bit4:UC,bit5:Rvs,bit6:Errsense,bit7:OT,
bit8:PCP,bit9:FOLDBACK,bit10:WDOG,bit11:LIVING,
bit12:LATCH,bit13:PF,bit14:MF,bit15:ECP,bit16:SENSE_POLAR,bit17:LOOP_OSC</t>
    <phoneticPr fontId="1" type="noConversion"/>
  </si>
  <si>
    <t>V0.6</t>
    <phoneticPr fontId="1" type="noConversion"/>
  </si>
  <si>
    <t>增加energy auto clear state和energy clear功能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</si>
</sst>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trike/>
      <sz val="11"/>
      <name val="等线"/>
      <family val="3"/>
      <charset val="134"/>
      <scheme val="minor"/>
    </font>
    <font>
      <b/>
      <sz val="16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/>
  </cellStyleXfs>
  <cellXfs count="9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6">
    <cellStyle name="常规" xfId="0" builtinId="0"/>
    <cellStyle name="常规 2" xfId="2" xr:uid="{F2004728-4C26-45E6-A9DC-0714EB90DA89}"/>
    <cellStyle name="常规 3" xfId="3" xr:uid="{1076E4DA-836F-4169-8493-182C90524657}"/>
    <cellStyle name="常规 4" xfId="4" xr:uid="{DCC3190B-59DA-4A90-A09D-EE9A61FAA831}"/>
    <cellStyle name="常规 5" xfId="5" xr:uid="{694FCF2D-184B-404C-81E2-ED5B9C01441D}"/>
    <cellStyle name="常规 6" xfId="1" xr:uid="{38FAA802-DA99-45E7-983D-47CF622301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F3AE-F007-4614-A900-63E2CE9603C7}">
  <dimension ref="A1:D7"/>
  <sheetViews>
    <sheetView workbookViewId="0">
      <selection activeCell="C17" sqref="C17"/>
    </sheetView>
  </sheetViews>
  <sheetFormatPr defaultRowHeight="13.8" x14ac:dyDescent="0.25"/>
  <cols>
    <col min="1" max="2" width="8.88671875" style="1"/>
    <col min="3" max="3" width="12.44140625" style="1" customWidth="1"/>
    <col min="4" max="4" width="93.21875" customWidth="1"/>
  </cols>
  <sheetData>
    <row r="1" spans="1:4" x14ac:dyDescent="0.25">
      <c r="A1" s="1" t="s">
        <v>247</v>
      </c>
      <c r="B1" s="1" t="s">
        <v>250</v>
      </c>
      <c r="C1" s="1" t="s">
        <v>249</v>
      </c>
      <c r="D1" t="s">
        <v>248</v>
      </c>
    </row>
    <row r="2" spans="1:4" x14ac:dyDescent="0.25">
      <c r="A2" s="1" t="s">
        <v>240</v>
      </c>
      <c r="B2" s="92" t="s">
        <v>279</v>
      </c>
      <c r="C2" s="29">
        <v>45449</v>
      </c>
      <c r="D2" t="s">
        <v>241</v>
      </c>
    </row>
    <row r="3" spans="1:4" x14ac:dyDescent="0.25">
      <c r="A3" s="1" t="s">
        <v>245</v>
      </c>
      <c r="B3" s="1" t="s">
        <v>279</v>
      </c>
      <c r="C3" s="29">
        <v>45530</v>
      </c>
      <c r="D3" t="s">
        <v>246</v>
      </c>
    </row>
    <row r="4" spans="1:4" ht="55.2" x14ac:dyDescent="0.25">
      <c r="A4" s="1" t="s">
        <v>257</v>
      </c>
      <c r="B4" s="1" t="s">
        <v>279</v>
      </c>
      <c r="C4" s="29">
        <v>45842</v>
      </c>
      <c r="D4" s="31" t="s">
        <v>258</v>
      </c>
    </row>
    <row r="5" spans="1:4" x14ac:dyDescent="0.25">
      <c r="A5" s="1" t="s">
        <v>273</v>
      </c>
      <c r="B5" s="1" t="s">
        <v>279</v>
      </c>
      <c r="C5" s="29">
        <v>45979</v>
      </c>
      <c r="D5" t="s">
        <v>274</v>
      </c>
    </row>
    <row r="6" spans="1:4" ht="27.6" x14ac:dyDescent="0.25">
      <c r="A6" s="1" t="s">
        <v>278</v>
      </c>
      <c r="B6" s="1" t="s">
        <v>279</v>
      </c>
      <c r="C6" s="29">
        <v>46226</v>
      </c>
      <c r="D6" s="31" t="s">
        <v>310</v>
      </c>
    </row>
    <row r="7" spans="1:4" x14ac:dyDescent="0.25">
      <c r="A7" s="1" t="s">
        <v>316</v>
      </c>
      <c r="B7" s="1" t="s">
        <v>279</v>
      </c>
      <c r="C7" s="29">
        <v>46311</v>
      </c>
      <c r="D7" t="s">
        <v>317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211B-9404-456C-807B-F52B53F9D38E}">
  <dimension ref="A1:L175"/>
  <sheetViews>
    <sheetView tabSelected="1" topLeftCell="A148" zoomScale="85" zoomScaleNormal="85" workbookViewId="0">
      <selection activeCell="C143" sqref="C143"/>
    </sheetView>
  </sheetViews>
  <sheetFormatPr defaultRowHeight="13.8" x14ac:dyDescent="0.25"/>
  <cols>
    <col min="1" max="1" width="28.6640625" customWidth="1"/>
    <col min="2" max="2" width="22.6640625" style="1" customWidth="1"/>
    <col min="3" max="3" width="18.21875" style="1" customWidth="1"/>
    <col min="4" max="4" width="8.6640625" style="1" customWidth="1"/>
    <col min="5" max="5" width="31" style="2" customWidth="1"/>
    <col min="6" max="6" width="19.33203125" style="1" customWidth="1"/>
    <col min="7" max="7" width="12.77734375" style="1" customWidth="1"/>
    <col min="8" max="8" width="7.88671875" style="1" customWidth="1"/>
    <col min="9" max="9" width="30.6640625" customWidth="1"/>
    <col min="10" max="10" width="16.77734375" style="1" customWidth="1"/>
    <col min="11" max="11" width="25.21875" customWidth="1"/>
    <col min="12" max="12" width="74" style="1" customWidth="1"/>
  </cols>
  <sheetData>
    <row r="1" spans="1:12" ht="20.399999999999999" x14ac:dyDescent="0.25">
      <c r="A1" s="84" t="s">
        <v>214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6"/>
    </row>
    <row r="2" spans="1:12" ht="23.4" customHeight="1" x14ac:dyDescent="0.25">
      <c r="A2" s="87" t="s">
        <v>3</v>
      </c>
      <c r="B2" s="88" t="s">
        <v>0</v>
      </c>
      <c r="C2" s="88" t="s">
        <v>1</v>
      </c>
      <c r="D2" s="88" t="s">
        <v>125</v>
      </c>
      <c r="E2" s="88" t="s">
        <v>5</v>
      </c>
      <c r="F2" s="88" t="s">
        <v>109</v>
      </c>
      <c r="G2" s="88" t="s">
        <v>34</v>
      </c>
      <c r="H2" s="88" t="s">
        <v>118</v>
      </c>
      <c r="I2" s="88" t="s">
        <v>117</v>
      </c>
      <c r="J2" s="89" t="s">
        <v>116</v>
      </c>
      <c r="K2" s="89"/>
      <c r="L2" s="90" t="s">
        <v>4</v>
      </c>
    </row>
    <row r="3" spans="1:12" ht="13.95" customHeight="1" x14ac:dyDescent="0.25">
      <c r="A3" s="53" t="s">
        <v>236</v>
      </c>
      <c r="B3" s="52" t="s">
        <v>227</v>
      </c>
      <c r="C3" s="52" t="s">
        <v>228</v>
      </c>
      <c r="D3" s="52" t="s">
        <v>126</v>
      </c>
      <c r="E3" s="34" t="s">
        <v>229</v>
      </c>
      <c r="F3" s="52" t="s">
        <v>110</v>
      </c>
      <c r="G3" s="52" t="s">
        <v>62</v>
      </c>
      <c r="H3" s="52">
        <v>2</v>
      </c>
      <c r="I3" s="52" t="str">
        <f>"4B " &amp;RIGHT(B3,2)&amp;" "&amp;"18 "&amp;RIGHT(C3,2)&amp;" 00 00 00 00 "</f>
        <v xml:space="preserve">4B 00 18 05 00 00 00 00 </v>
      </c>
      <c r="J3" s="52" t="s">
        <v>244</v>
      </c>
      <c r="K3" s="52" t="str">
        <f>"2B "&amp;RIGHT(B3,2)&amp;" 18 "&amp;RIGHT(C3,2)&amp;IF(G3="float"," 00 00 20 40 "," F4 01 00 00")</f>
        <v>2B 00 18 05 F4 01 00 00</v>
      </c>
      <c r="L3" s="35" t="s">
        <v>237</v>
      </c>
    </row>
    <row r="4" spans="1:12" ht="13.95" customHeight="1" x14ac:dyDescent="0.25">
      <c r="A4" s="54"/>
      <c r="B4" s="49" t="s">
        <v>230</v>
      </c>
      <c r="C4" s="49" t="s">
        <v>228</v>
      </c>
      <c r="D4" s="49" t="s">
        <v>126</v>
      </c>
      <c r="E4" s="27" t="s">
        <v>233</v>
      </c>
      <c r="F4" s="49" t="s">
        <v>110</v>
      </c>
      <c r="G4" s="49" t="s">
        <v>62</v>
      </c>
      <c r="H4" s="49">
        <v>2</v>
      </c>
      <c r="I4" s="49" t="str">
        <f t="shared" ref="I4:I6" si="0">"4B " &amp;RIGHT(B4,2)&amp;" "&amp;"18 "&amp;RIGHT(C4,2)&amp;" 00 00 00 00 "</f>
        <v xml:space="preserve">4B 01 18 05 00 00 00 00 </v>
      </c>
      <c r="J4" s="49" t="s">
        <v>244</v>
      </c>
      <c r="K4" s="49" t="str">
        <f t="shared" ref="K4:K6" si="1">"2B "&amp;RIGHT(B4,2)&amp;" 18 "&amp;RIGHT(C4,2)&amp;IF(G4="float"," 00 00 20 40 "," F4 01 00 00")</f>
        <v>2B 01 18 05 F4 01 00 00</v>
      </c>
      <c r="L4" s="28" t="s">
        <v>237</v>
      </c>
    </row>
    <row r="5" spans="1:12" ht="13.95" customHeight="1" x14ac:dyDescent="0.25">
      <c r="A5" s="54"/>
      <c r="B5" s="49" t="s">
        <v>231</v>
      </c>
      <c r="C5" s="49" t="s">
        <v>228</v>
      </c>
      <c r="D5" s="49" t="s">
        <v>126</v>
      </c>
      <c r="E5" s="27" t="s">
        <v>234</v>
      </c>
      <c r="F5" s="49" t="s">
        <v>110</v>
      </c>
      <c r="G5" s="49" t="s">
        <v>62</v>
      </c>
      <c r="H5" s="49">
        <v>2</v>
      </c>
      <c r="I5" s="49" t="str">
        <f t="shared" si="0"/>
        <v xml:space="preserve">4B 02 18 05 00 00 00 00 </v>
      </c>
      <c r="J5" s="49" t="s">
        <v>244</v>
      </c>
      <c r="K5" s="49" t="str">
        <f t="shared" si="1"/>
        <v>2B 02 18 05 F4 01 00 00</v>
      </c>
      <c r="L5" s="28" t="s">
        <v>237</v>
      </c>
    </row>
    <row r="6" spans="1:12" ht="13.95" customHeight="1" x14ac:dyDescent="0.25">
      <c r="A6" s="54"/>
      <c r="B6" s="51" t="s">
        <v>232</v>
      </c>
      <c r="C6" s="51" t="s">
        <v>228</v>
      </c>
      <c r="D6" s="51" t="s">
        <v>126</v>
      </c>
      <c r="E6" s="36" t="s">
        <v>235</v>
      </c>
      <c r="F6" s="51" t="s">
        <v>110</v>
      </c>
      <c r="G6" s="51" t="s">
        <v>62</v>
      </c>
      <c r="H6" s="51">
        <v>2</v>
      </c>
      <c r="I6" s="51" t="str">
        <f t="shared" si="0"/>
        <v xml:space="preserve">4B 03 18 05 00 00 00 00 </v>
      </c>
      <c r="J6" s="51" t="s">
        <v>244</v>
      </c>
      <c r="K6" s="51" t="str">
        <f t="shared" si="1"/>
        <v>2B 03 18 05 F4 01 00 00</v>
      </c>
      <c r="L6" s="37" t="s">
        <v>237</v>
      </c>
    </row>
    <row r="7" spans="1:12" ht="13.95" customHeight="1" x14ac:dyDescent="0.25">
      <c r="A7" s="54"/>
      <c r="B7" s="56" t="s">
        <v>259</v>
      </c>
      <c r="C7" s="49" t="s">
        <v>2</v>
      </c>
      <c r="D7" s="49" t="s">
        <v>126</v>
      </c>
      <c r="E7" s="27" t="s">
        <v>268</v>
      </c>
      <c r="F7" s="49" t="s">
        <v>110</v>
      </c>
      <c r="G7" s="49" t="s">
        <v>62</v>
      </c>
      <c r="H7" s="49">
        <v>4</v>
      </c>
      <c r="I7" s="49" t="str">
        <f t="shared" ref="I7:I14" si="2">"43 " &amp;RIGHT(B$7,2)&amp;" "&amp;"1A "&amp;RIGHT(C7,2)&amp;" 00 00 00 00 "</f>
        <v xml:space="preserve">43 00 1A 01 00 00 00 00 </v>
      </c>
      <c r="J7" s="49"/>
      <c r="K7" s="49"/>
      <c r="L7" s="28"/>
    </row>
    <row r="8" spans="1:12" ht="13.95" customHeight="1" x14ac:dyDescent="0.25">
      <c r="A8" s="54"/>
      <c r="B8" s="57"/>
      <c r="C8" s="49" t="s">
        <v>96</v>
      </c>
      <c r="D8" s="49" t="s">
        <v>126</v>
      </c>
      <c r="E8" s="27" t="s">
        <v>268</v>
      </c>
      <c r="F8" s="49" t="s">
        <v>110</v>
      </c>
      <c r="G8" s="49" t="s">
        <v>62</v>
      </c>
      <c r="H8" s="49">
        <v>4</v>
      </c>
      <c r="I8" s="49" t="str">
        <f t="shared" si="2"/>
        <v xml:space="preserve">43 00 1A 02 00 00 00 00 </v>
      </c>
      <c r="J8" s="49"/>
      <c r="K8" s="49"/>
      <c r="L8" s="28"/>
    </row>
    <row r="9" spans="1:12" ht="13.95" customHeight="1" x14ac:dyDescent="0.25">
      <c r="A9" s="54"/>
      <c r="B9" s="57"/>
      <c r="C9" s="49" t="s">
        <v>263</v>
      </c>
      <c r="D9" s="49" t="s">
        <v>126</v>
      </c>
      <c r="E9" s="27" t="s">
        <v>268</v>
      </c>
      <c r="F9" s="49" t="s">
        <v>110</v>
      </c>
      <c r="G9" s="49" t="s">
        <v>62</v>
      </c>
      <c r="H9" s="49">
        <v>4</v>
      </c>
      <c r="I9" s="49" t="str">
        <f t="shared" si="2"/>
        <v xml:space="preserve">43 00 1A 03 00 00 00 00 </v>
      </c>
      <c r="J9" s="49"/>
      <c r="K9" s="49"/>
      <c r="L9" s="28"/>
    </row>
    <row r="10" spans="1:12" ht="13.95" customHeight="1" x14ac:dyDescent="0.25">
      <c r="A10" s="54"/>
      <c r="B10" s="57"/>
      <c r="C10" s="49" t="s">
        <v>264</v>
      </c>
      <c r="D10" s="49" t="s">
        <v>126</v>
      </c>
      <c r="E10" s="27" t="s">
        <v>268</v>
      </c>
      <c r="F10" s="49" t="s">
        <v>110</v>
      </c>
      <c r="G10" s="49" t="s">
        <v>62</v>
      </c>
      <c r="H10" s="49">
        <v>4</v>
      </c>
      <c r="I10" s="49" t="str">
        <f t="shared" si="2"/>
        <v xml:space="preserve">43 00 1A 04 00 00 00 00 </v>
      </c>
      <c r="J10" s="49"/>
      <c r="K10" s="49"/>
      <c r="L10" s="28"/>
    </row>
    <row r="11" spans="1:12" ht="13.95" customHeight="1" x14ac:dyDescent="0.25">
      <c r="A11" s="54"/>
      <c r="B11" s="57"/>
      <c r="C11" s="49" t="s">
        <v>228</v>
      </c>
      <c r="D11" s="49" t="s">
        <v>126</v>
      </c>
      <c r="E11" s="27" t="s">
        <v>268</v>
      </c>
      <c r="F11" s="49" t="s">
        <v>110</v>
      </c>
      <c r="G11" s="49" t="s">
        <v>62</v>
      </c>
      <c r="H11" s="49">
        <v>4</v>
      </c>
      <c r="I11" s="49" t="str">
        <f t="shared" si="2"/>
        <v xml:space="preserve">43 00 1A 05 00 00 00 00 </v>
      </c>
      <c r="J11" s="49"/>
      <c r="K11" s="49"/>
      <c r="L11" s="28"/>
    </row>
    <row r="12" spans="1:12" ht="13.95" customHeight="1" x14ac:dyDescent="0.25">
      <c r="A12" s="54"/>
      <c r="B12" s="57"/>
      <c r="C12" s="49" t="s">
        <v>265</v>
      </c>
      <c r="D12" s="49" t="s">
        <v>126</v>
      </c>
      <c r="E12" s="27" t="s">
        <v>268</v>
      </c>
      <c r="F12" s="49" t="s">
        <v>110</v>
      </c>
      <c r="G12" s="49" t="s">
        <v>62</v>
      </c>
      <c r="H12" s="49">
        <v>4</v>
      </c>
      <c r="I12" s="49" t="str">
        <f t="shared" si="2"/>
        <v xml:space="preserve">43 00 1A 06 00 00 00 00 </v>
      </c>
      <c r="J12" s="49"/>
      <c r="K12" s="49"/>
      <c r="L12" s="28"/>
    </row>
    <row r="13" spans="1:12" ht="13.95" customHeight="1" x14ac:dyDescent="0.25">
      <c r="A13" s="54"/>
      <c r="B13" s="57"/>
      <c r="C13" s="49" t="s">
        <v>266</v>
      </c>
      <c r="D13" s="49" t="s">
        <v>126</v>
      </c>
      <c r="E13" s="27" t="s">
        <v>268</v>
      </c>
      <c r="F13" s="49" t="s">
        <v>110</v>
      </c>
      <c r="G13" s="49" t="s">
        <v>62</v>
      </c>
      <c r="H13" s="49">
        <v>4</v>
      </c>
      <c r="I13" s="49" t="str">
        <f t="shared" si="2"/>
        <v xml:space="preserve">43 00 1A 07 00 00 00 00 </v>
      </c>
      <c r="J13" s="49"/>
      <c r="K13" s="49"/>
      <c r="L13" s="28"/>
    </row>
    <row r="14" spans="1:12" ht="13.95" customHeight="1" x14ac:dyDescent="0.25">
      <c r="A14" s="54"/>
      <c r="B14" s="57"/>
      <c r="C14" s="49" t="s">
        <v>267</v>
      </c>
      <c r="D14" s="49" t="s">
        <v>126</v>
      </c>
      <c r="E14" s="27" t="s">
        <v>268</v>
      </c>
      <c r="F14" s="49" t="s">
        <v>110</v>
      </c>
      <c r="G14" s="49" t="s">
        <v>62</v>
      </c>
      <c r="H14" s="49">
        <v>4</v>
      </c>
      <c r="I14" s="49" t="str">
        <f t="shared" si="2"/>
        <v xml:space="preserve">43 00 1A 08 00 00 00 00 </v>
      </c>
      <c r="J14" s="49"/>
      <c r="K14" s="49"/>
      <c r="L14" s="28"/>
    </row>
    <row r="15" spans="1:12" ht="13.95" customHeight="1" x14ac:dyDescent="0.25">
      <c r="A15" s="54"/>
      <c r="B15" s="57" t="s">
        <v>260</v>
      </c>
      <c r="C15" s="49" t="s">
        <v>2</v>
      </c>
      <c r="D15" s="49" t="s">
        <v>126</v>
      </c>
      <c r="E15" s="27" t="s">
        <v>269</v>
      </c>
      <c r="F15" s="49" t="s">
        <v>110</v>
      </c>
      <c r="G15" s="49" t="s">
        <v>62</v>
      </c>
      <c r="H15" s="49">
        <v>4</v>
      </c>
      <c r="I15" s="49" t="str">
        <f>"43 " &amp;RIGHT(B$15,2)&amp;" "&amp;"1A "&amp;RIGHT(C15,2)&amp;" 00 00 00 00 "</f>
        <v xml:space="preserve">43 01 1A 01 00 00 00 00 </v>
      </c>
      <c r="J15" s="49"/>
      <c r="K15" s="49"/>
      <c r="L15" s="28"/>
    </row>
    <row r="16" spans="1:12" ht="13.95" customHeight="1" x14ac:dyDescent="0.25">
      <c r="A16" s="54"/>
      <c r="B16" s="57"/>
      <c r="C16" s="49" t="s">
        <v>96</v>
      </c>
      <c r="D16" s="49" t="s">
        <v>126</v>
      </c>
      <c r="E16" s="27" t="s">
        <v>269</v>
      </c>
      <c r="F16" s="49" t="s">
        <v>110</v>
      </c>
      <c r="G16" s="49" t="s">
        <v>62</v>
      </c>
      <c r="H16" s="49">
        <v>4</v>
      </c>
      <c r="I16" s="49" t="str">
        <f>"43 " &amp;RIGHT(B$15,2)&amp;" "&amp;"1A "&amp;RIGHT(C16,2)&amp;" 00 00 00 00 "</f>
        <v xml:space="preserve">43 01 1A 02 00 00 00 00 </v>
      </c>
      <c r="J16" s="49"/>
      <c r="K16" s="49"/>
      <c r="L16" s="28"/>
    </row>
    <row r="17" spans="1:12" ht="13.95" customHeight="1" x14ac:dyDescent="0.25">
      <c r="A17" s="54"/>
      <c r="B17" s="57" t="s">
        <v>261</v>
      </c>
      <c r="C17" s="49" t="s">
        <v>2</v>
      </c>
      <c r="D17" s="49" t="s">
        <v>126</v>
      </c>
      <c r="E17" s="27" t="s">
        <v>270</v>
      </c>
      <c r="F17" s="49" t="s">
        <v>110</v>
      </c>
      <c r="G17" s="49" t="s">
        <v>62</v>
      </c>
      <c r="H17" s="49">
        <v>4</v>
      </c>
      <c r="I17" s="49" t="str">
        <f>"43 " &amp;RIGHT(B$17,2)&amp;" "&amp;"1A "&amp;RIGHT(C17,2)&amp;" 00 00 00 00 "</f>
        <v xml:space="preserve">43 02 1A 01 00 00 00 00 </v>
      </c>
      <c r="J17" s="49"/>
      <c r="K17" s="49"/>
      <c r="L17" s="28"/>
    </row>
    <row r="18" spans="1:12" ht="13.95" customHeight="1" x14ac:dyDescent="0.25">
      <c r="A18" s="54"/>
      <c r="B18" s="57"/>
      <c r="C18" s="49" t="s">
        <v>96</v>
      </c>
      <c r="D18" s="49" t="s">
        <v>126</v>
      </c>
      <c r="E18" s="27" t="s">
        <v>270</v>
      </c>
      <c r="F18" s="49" t="s">
        <v>110</v>
      </c>
      <c r="G18" s="49" t="s">
        <v>62</v>
      </c>
      <c r="H18" s="49">
        <v>4</v>
      </c>
      <c r="I18" s="49" t="str">
        <f>"43 " &amp;RIGHT(B$17,2)&amp;" "&amp;"1A "&amp;RIGHT(C18,2)&amp;" 00 00 00 00 "</f>
        <v xml:space="preserve">43 02 1A 02 00 00 00 00 </v>
      </c>
      <c r="J18" s="49"/>
      <c r="K18" s="49"/>
      <c r="L18" s="28"/>
    </row>
    <row r="19" spans="1:12" ht="13.95" customHeight="1" x14ac:dyDescent="0.25">
      <c r="A19" s="54"/>
      <c r="B19" s="57" t="s">
        <v>262</v>
      </c>
      <c r="C19" s="49" t="s">
        <v>2</v>
      </c>
      <c r="D19" s="49" t="s">
        <v>126</v>
      </c>
      <c r="E19" s="27" t="s">
        <v>271</v>
      </c>
      <c r="F19" s="49" t="s">
        <v>110</v>
      </c>
      <c r="G19" s="49" t="s">
        <v>62</v>
      </c>
      <c r="H19" s="49">
        <v>4</v>
      </c>
      <c r="I19" s="49" t="str">
        <f>"43 " &amp;RIGHT(B$19,2)&amp;" "&amp;"1A "&amp;RIGHT(C19,2)&amp;" 00 00 00 00 "</f>
        <v xml:space="preserve">43 03 1A 01 00 00 00 00 </v>
      </c>
      <c r="J19" s="49"/>
      <c r="K19" s="49"/>
      <c r="L19" s="28"/>
    </row>
    <row r="20" spans="1:12" ht="13.95" customHeight="1" x14ac:dyDescent="0.25">
      <c r="A20" s="54"/>
      <c r="B20" s="57"/>
      <c r="C20" s="49" t="s">
        <v>96</v>
      </c>
      <c r="D20" s="49" t="s">
        <v>126</v>
      </c>
      <c r="E20" s="27" t="s">
        <v>271</v>
      </c>
      <c r="F20" s="49" t="s">
        <v>110</v>
      </c>
      <c r="G20" s="49" t="s">
        <v>62</v>
      </c>
      <c r="H20" s="49">
        <v>4</v>
      </c>
      <c r="I20" s="49" t="str">
        <f t="shared" ref="I20:I26" si="3">"43 " &amp;RIGHT(B$19,2)&amp;" "&amp;"1A "&amp;RIGHT(C20,2)&amp;" 00 00 00 00 "</f>
        <v xml:space="preserve">43 03 1A 02 00 00 00 00 </v>
      </c>
      <c r="J20" s="49"/>
      <c r="K20" s="49"/>
      <c r="L20" s="28"/>
    </row>
    <row r="21" spans="1:12" ht="13.95" customHeight="1" x14ac:dyDescent="0.25">
      <c r="A21" s="54"/>
      <c r="B21" s="57"/>
      <c r="C21" s="49" t="s">
        <v>263</v>
      </c>
      <c r="D21" s="49" t="s">
        <v>126</v>
      </c>
      <c r="E21" s="27" t="s">
        <v>271</v>
      </c>
      <c r="F21" s="49" t="s">
        <v>110</v>
      </c>
      <c r="G21" s="49" t="s">
        <v>62</v>
      </c>
      <c r="H21" s="49">
        <v>4</v>
      </c>
      <c r="I21" s="49" t="str">
        <f t="shared" si="3"/>
        <v xml:space="preserve">43 03 1A 03 00 00 00 00 </v>
      </c>
      <c r="J21" s="49"/>
      <c r="K21" s="49"/>
      <c r="L21" s="28"/>
    </row>
    <row r="22" spans="1:12" ht="13.95" customHeight="1" x14ac:dyDescent="0.25">
      <c r="A22" s="54"/>
      <c r="B22" s="57"/>
      <c r="C22" s="49" t="s">
        <v>264</v>
      </c>
      <c r="D22" s="49" t="s">
        <v>126</v>
      </c>
      <c r="E22" s="27" t="s">
        <v>271</v>
      </c>
      <c r="F22" s="49" t="s">
        <v>110</v>
      </c>
      <c r="G22" s="49" t="s">
        <v>62</v>
      </c>
      <c r="H22" s="49">
        <v>4</v>
      </c>
      <c r="I22" s="49" t="str">
        <f t="shared" si="3"/>
        <v xml:space="preserve">43 03 1A 04 00 00 00 00 </v>
      </c>
      <c r="J22" s="49"/>
      <c r="K22" s="49"/>
      <c r="L22" s="28"/>
    </row>
    <row r="23" spans="1:12" ht="13.95" customHeight="1" x14ac:dyDescent="0.25">
      <c r="A23" s="54"/>
      <c r="B23" s="57"/>
      <c r="C23" s="49" t="s">
        <v>228</v>
      </c>
      <c r="D23" s="49" t="s">
        <v>126</v>
      </c>
      <c r="E23" s="27" t="s">
        <v>271</v>
      </c>
      <c r="F23" s="49" t="s">
        <v>110</v>
      </c>
      <c r="G23" s="49" t="s">
        <v>62</v>
      </c>
      <c r="H23" s="49">
        <v>4</v>
      </c>
      <c r="I23" s="49" t="str">
        <f t="shared" si="3"/>
        <v xml:space="preserve">43 03 1A 05 00 00 00 00 </v>
      </c>
      <c r="J23" s="49"/>
      <c r="K23" s="49"/>
      <c r="L23" s="28"/>
    </row>
    <row r="24" spans="1:12" ht="13.95" customHeight="1" x14ac:dyDescent="0.25">
      <c r="A24" s="54"/>
      <c r="B24" s="57"/>
      <c r="C24" s="49" t="s">
        <v>265</v>
      </c>
      <c r="D24" s="49" t="s">
        <v>126</v>
      </c>
      <c r="E24" s="27" t="s">
        <v>271</v>
      </c>
      <c r="F24" s="49" t="s">
        <v>110</v>
      </c>
      <c r="G24" s="49" t="s">
        <v>62</v>
      </c>
      <c r="H24" s="49">
        <v>4</v>
      </c>
      <c r="I24" s="49" t="str">
        <f t="shared" si="3"/>
        <v xml:space="preserve">43 03 1A 06 00 00 00 00 </v>
      </c>
      <c r="J24" s="49"/>
      <c r="K24" s="49"/>
      <c r="L24" s="28"/>
    </row>
    <row r="25" spans="1:12" ht="13.95" customHeight="1" x14ac:dyDescent="0.25">
      <c r="A25" s="54"/>
      <c r="B25" s="57"/>
      <c r="C25" s="49" t="s">
        <v>266</v>
      </c>
      <c r="D25" s="49" t="s">
        <v>126</v>
      </c>
      <c r="E25" s="27" t="s">
        <v>271</v>
      </c>
      <c r="F25" s="49" t="s">
        <v>110</v>
      </c>
      <c r="G25" s="49" t="s">
        <v>62</v>
      </c>
      <c r="H25" s="49">
        <v>4</v>
      </c>
      <c r="I25" s="49" t="str">
        <f t="shared" si="3"/>
        <v xml:space="preserve">43 03 1A 07 00 00 00 00 </v>
      </c>
      <c r="J25" s="49"/>
      <c r="K25" s="49"/>
      <c r="L25" s="28"/>
    </row>
    <row r="26" spans="1:12" ht="13.95" customHeight="1" x14ac:dyDescent="0.25">
      <c r="A26" s="55"/>
      <c r="B26" s="58"/>
      <c r="C26" s="51" t="s">
        <v>267</v>
      </c>
      <c r="D26" s="51" t="s">
        <v>126</v>
      </c>
      <c r="E26" s="36" t="s">
        <v>271</v>
      </c>
      <c r="F26" s="51" t="s">
        <v>110</v>
      </c>
      <c r="G26" s="51" t="s">
        <v>62</v>
      </c>
      <c r="H26" s="51">
        <v>4</v>
      </c>
      <c r="I26" s="51" t="str">
        <f t="shared" si="3"/>
        <v xml:space="preserve">43 03 1A 08 00 00 00 00 </v>
      </c>
      <c r="J26" s="51"/>
      <c r="K26" s="51"/>
      <c r="L26" s="37"/>
    </row>
    <row r="27" spans="1:12" x14ac:dyDescent="0.25">
      <c r="A27" s="53" t="s">
        <v>149</v>
      </c>
      <c r="B27" s="56" t="s">
        <v>136</v>
      </c>
      <c r="C27" s="49" t="str">
        <f t="shared" ref="C27:C38" si="4">"0x"&amp;DEC2HEX(ROW()-ROW($A$27)+1,2)</f>
        <v>0x01</v>
      </c>
      <c r="D27" s="49" t="s">
        <v>126</v>
      </c>
      <c r="E27" s="27" t="s">
        <v>137</v>
      </c>
      <c r="F27" s="49" t="s">
        <v>110</v>
      </c>
      <c r="G27" s="49" t="s">
        <v>16</v>
      </c>
      <c r="H27" s="49">
        <v>1</v>
      </c>
      <c r="I27" s="49" t="str">
        <f t="shared" ref="I27:I38" si="5">"4"&amp;IF(H27=4,3,"F")&amp;" "&amp;RIGHT($B$27,2)&amp;" "&amp;"30 "&amp;RIGHT(C27,2)&amp;" 00 00 00 00 "</f>
        <v xml:space="preserve">4F 01 30 01 00 00 00 00 </v>
      </c>
      <c r="J27" s="49" t="str">
        <f>IF(G27="float","Set value to 2.5","Set value to    1")</f>
        <v>Set value to    1</v>
      </c>
      <c r="K27" s="49" t="str">
        <f t="shared" ref="K27:K38" si="6">"2"&amp;IF(H27=4,3,"F")&amp;" "&amp;RIGHT($B$27,2)&amp;" "&amp;"30 "&amp;RIGHT(C27,2)&amp;IF(G27="float"," 00 00 20 40 "," 01 00 00 00")</f>
        <v>2F 01 30 01 01 00 00 00</v>
      </c>
      <c r="L27" s="28"/>
    </row>
    <row r="28" spans="1:12" x14ac:dyDescent="0.25">
      <c r="A28" s="54"/>
      <c r="B28" s="57"/>
      <c r="C28" s="49" t="str">
        <f t="shared" si="4"/>
        <v>0x02</v>
      </c>
      <c r="D28" s="49" t="s">
        <v>126</v>
      </c>
      <c r="E28" s="27" t="s">
        <v>138</v>
      </c>
      <c r="F28" s="49" t="s">
        <v>110</v>
      </c>
      <c r="G28" s="49" t="s">
        <v>62</v>
      </c>
      <c r="H28" s="49">
        <v>4</v>
      </c>
      <c r="I28" s="49" t="str">
        <f t="shared" si="5"/>
        <v xml:space="preserve">43 01 30 02 00 00 00 00 </v>
      </c>
      <c r="J28" s="49" t="str">
        <f t="shared" ref="J28:J107" si="7">IF(G28="float","Set value to 2.5","Set value to    1")</f>
        <v>Set value to    1</v>
      </c>
      <c r="K28" s="49" t="str">
        <f t="shared" si="6"/>
        <v>23 01 30 02 01 00 00 00</v>
      </c>
      <c r="L28" s="28" t="s">
        <v>150</v>
      </c>
    </row>
    <row r="29" spans="1:12" x14ac:dyDescent="0.25">
      <c r="A29" s="54"/>
      <c r="B29" s="57"/>
      <c r="C29" s="49" t="str">
        <f t="shared" si="4"/>
        <v>0x03</v>
      </c>
      <c r="D29" s="49" t="s">
        <v>126</v>
      </c>
      <c r="E29" s="27" t="s">
        <v>139</v>
      </c>
      <c r="F29" s="49" t="s">
        <v>114</v>
      </c>
      <c r="G29" s="49" t="s">
        <v>62</v>
      </c>
      <c r="H29" s="49">
        <v>4</v>
      </c>
      <c r="I29" s="49" t="str">
        <f t="shared" si="5"/>
        <v xml:space="preserve">43 01 30 03 00 00 00 00 </v>
      </c>
      <c r="J29" s="49" t="str">
        <f t="shared" si="7"/>
        <v>Set value to    1</v>
      </c>
      <c r="K29" s="49" t="str">
        <f t="shared" si="6"/>
        <v>23 01 30 03 01 00 00 00</v>
      </c>
      <c r="L29" s="28" t="s">
        <v>151</v>
      </c>
    </row>
    <row r="30" spans="1:12" x14ac:dyDescent="0.25">
      <c r="A30" s="54"/>
      <c r="B30" s="57"/>
      <c r="C30" s="49" t="str">
        <f t="shared" si="4"/>
        <v>0x04</v>
      </c>
      <c r="D30" s="49" t="s">
        <v>126</v>
      </c>
      <c r="E30" s="27" t="s">
        <v>140</v>
      </c>
      <c r="F30" s="49" t="s">
        <v>115</v>
      </c>
      <c r="G30" s="49" t="s">
        <v>62</v>
      </c>
      <c r="H30" s="49">
        <v>4</v>
      </c>
      <c r="I30" s="49" t="str">
        <f t="shared" si="5"/>
        <v xml:space="preserve">43 01 30 04 00 00 00 00 </v>
      </c>
      <c r="J30" s="49" t="str">
        <f t="shared" si="7"/>
        <v>Set value to    1</v>
      </c>
      <c r="K30" s="49" t="str">
        <f t="shared" si="6"/>
        <v>23 01 30 04 01 00 00 00</v>
      </c>
      <c r="L30" s="28" t="s">
        <v>152</v>
      </c>
    </row>
    <row r="31" spans="1:12" x14ac:dyDescent="0.25">
      <c r="A31" s="54"/>
      <c r="B31" s="57"/>
      <c r="C31" s="49" t="str">
        <f t="shared" si="4"/>
        <v>0x05</v>
      </c>
      <c r="D31" s="49" t="s">
        <v>126</v>
      </c>
      <c r="E31" s="27" t="s">
        <v>141</v>
      </c>
      <c r="F31" s="49" t="s">
        <v>110</v>
      </c>
      <c r="G31" s="49" t="s">
        <v>62</v>
      </c>
      <c r="H31" s="49">
        <v>4</v>
      </c>
      <c r="I31" s="49" t="str">
        <f t="shared" si="5"/>
        <v xml:space="preserve">43 01 30 05 00 00 00 00 </v>
      </c>
      <c r="J31" s="49" t="str">
        <f t="shared" si="7"/>
        <v>Set value to    1</v>
      </c>
      <c r="K31" s="49" t="str">
        <f t="shared" si="6"/>
        <v>23 01 30 05 01 00 00 00</v>
      </c>
      <c r="L31" s="28" t="s">
        <v>153</v>
      </c>
    </row>
    <row r="32" spans="1:12" x14ac:dyDescent="0.25">
      <c r="A32" s="54"/>
      <c r="B32" s="57"/>
      <c r="C32" s="49" t="str">
        <f t="shared" si="4"/>
        <v>0x06</v>
      </c>
      <c r="D32" s="49" t="s">
        <v>126</v>
      </c>
      <c r="E32" s="27" t="s">
        <v>142</v>
      </c>
      <c r="F32" s="49" t="s">
        <v>110</v>
      </c>
      <c r="G32" s="49" t="s">
        <v>62</v>
      </c>
      <c r="H32" s="49">
        <v>4</v>
      </c>
      <c r="I32" s="49" t="str">
        <f t="shared" si="5"/>
        <v xml:space="preserve">43 01 30 06 00 00 00 00 </v>
      </c>
      <c r="J32" s="49" t="str">
        <f t="shared" si="7"/>
        <v>Set value to    1</v>
      </c>
      <c r="K32" s="49" t="str">
        <f t="shared" si="6"/>
        <v>23 01 30 06 01 00 00 00</v>
      </c>
      <c r="L32" s="28" t="s">
        <v>154</v>
      </c>
    </row>
    <row r="33" spans="1:12" x14ac:dyDescent="0.25">
      <c r="A33" s="54"/>
      <c r="B33" s="57"/>
      <c r="C33" s="49" t="str">
        <f t="shared" si="4"/>
        <v>0x07</v>
      </c>
      <c r="D33" s="49" t="s">
        <v>126</v>
      </c>
      <c r="E33" s="27" t="s">
        <v>143</v>
      </c>
      <c r="F33" s="49" t="s">
        <v>110</v>
      </c>
      <c r="G33" s="49" t="s">
        <v>15</v>
      </c>
      <c r="H33" s="49">
        <v>4</v>
      </c>
      <c r="I33" s="49" t="str">
        <f t="shared" si="5"/>
        <v xml:space="preserve">43 01 30 07 00 00 00 00 </v>
      </c>
      <c r="J33" s="49" t="str">
        <f>IF(G33="float","Set value to 1.0","Set value to    1")</f>
        <v>Set value to 1.0</v>
      </c>
      <c r="K33" s="49" t="str">
        <f>"2"&amp;IF(H33=4,3,"F")&amp;" "&amp;RIGHT($B$27,2)&amp;" "&amp;"30 "&amp;RIGHT(C33,2)&amp;IF(G33="float"," 00 00 80 3f "," 01 00 00 00")</f>
        <v xml:space="preserve">23 01 30 07 00 00 80 3f </v>
      </c>
      <c r="L33" s="28" t="s">
        <v>238</v>
      </c>
    </row>
    <row r="34" spans="1:12" x14ac:dyDescent="0.25">
      <c r="A34" s="54"/>
      <c r="B34" s="57"/>
      <c r="C34" s="49" t="str">
        <f t="shared" si="4"/>
        <v>0x08</v>
      </c>
      <c r="D34" s="49" t="s">
        <v>126</v>
      </c>
      <c r="E34" s="27" t="s">
        <v>144</v>
      </c>
      <c r="F34" s="49" t="s">
        <v>110</v>
      </c>
      <c r="G34" s="49" t="s">
        <v>62</v>
      </c>
      <c r="H34" s="49">
        <v>4</v>
      </c>
      <c r="I34" s="49" t="str">
        <f t="shared" si="5"/>
        <v xml:space="preserve">43 01 30 08 00 00 00 00 </v>
      </c>
      <c r="J34" s="49" t="str">
        <f t="shared" si="7"/>
        <v>Set value to    1</v>
      </c>
      <c r="K34" s="49" t="str">
        <f t="shared" si="6"/>
        <v>23 01 30 08 01 00 00 00</v>
      </c>
      <c r="L34" s="28" t="str">
        <f>L31</f>
        <v>bit[0-7]:channel 0-7</v>
      </c>
    </row>
    <row r="35" spans="1:12" x14ac:dyDescent="0.25">
      <c r="A35" s="54"/>
      <c r="B35" s="57"/>
      <c r="C35" s="49" t="str">
        <f t="shared" si="4"/>
        <v>0x09</v>
      </c>
      <c r="D35" s="49" t="s">
        <v>126</v>
      </c>
      <c r="E35" s="27" t="s">
        <v>239</v>
      </c>
      <c r="F35" s="49" t="s">
        <v>110</v>
      </c>
      <c r="G35" s="49" t="s">
        <v>62</v>
      </c>
      <c r="H35" s="49">
        <v>4</v>
      </c>
      <c r="I35" s="49" t="str">
        <f t="shared" si="5"/>
        <v xml:space="preserve">43 01 30 09 00 00 00 00 </v>
      </c>
      <c r="J35" s="49" t="str">
        <f t="shared" si="7"/>
        <v>Set value to    1</v>
      </c>
      <c r="K35" s="49" t="str">
        <f t="shared" si="6"/>
        <v>23 01 30 09 01 00 00 00</v>
      </c>
      <c r="L35" s="28" t="s">
        <v>155</v>
      </c>
    </row>
    <row r="36" spans="1:12" x14ac:dyDescent="0.25">
      <c r="A36" s="54"/>
      <c r="B36" s="57"/>
      <c r="C36" s="49" t="str">
        <f t="shared" si="4"/>
        <v>0x0A</v>
      </c>
      <c r="D36" s="49" t="s">
        <v>126</v>
      </c>
      <c r="E36" s="27" t="s">
        <v>145</v>
      </c>
      <c r="F36" s="49" t="s">
        <v>110</v>
      </c>
      <c r="G36" s="49" t="s">
        <v>62</v>
      </c>
      <c r="H36" s="49">
        <v>4</v>
      </c>
      <c r="I36" s="49" t="str">
        <f t="shared" si="5"/>
        <v xml:space="preserve">43 01 30 0A 00 00 00 00 </v>
      </c>
      <c r="J36" s="49" t="str">
        <f t="shared" si="7"/>
        <v>Set value to    1</v>
      </c>
      <c r="K36" s="49" t="str">
        <f t="shared" si="6"/>
        <v>23 01 30 0A 01 00 00 00</v>
      </c>
      <c r="L36" s="28" t="str">
        <f>L31</f>
        <v>bit[0-7]:channel 0-7</v>
      </c>
    </row>
    <row r="37" spans="1:12" x14ac:dyDescent="0.25">
      <c r="A37" s="54"/>
      <c r="B37" s="57"/>
      <c r="C37" s="49" t="str">
        <f t="shared" si="4"/>
        <v>0x0B</v>
      </c>
      <c r="D37" s="49" t="s">
        <v>126</v>
      </c>
      <c r="E37" s="27" t="s">
        <v>276</v>
      </c>
      <c r="F37" s="49" t="s">
        <v>110</v>
      </c>
      <c r="G37" s="49" t="s">
        <v>62</v>
      </c>
      <c r="H37" s="49">
        <v>4</v>
      </c>
      <c r="I37" s="49" t="str">
        <f t="shared" si="5"/>
        <v xml:space="preserve">43 01 30 0B 00 00 00 00 </v>
      </c>
      <c r="J37" s="49" t="str">
        <f t="shared" si="7"/>
        <v>Set value to    1</v>
      </c>
      <c r="K37" s="49" t="str">
        <f t="shared" si="6"/>
        <v>23 01 30 0B 01 00 00 00</v>
      </c>
      <c r="L37" s="28" t="s">
        <v>153</v>
      </c>
    </row>
    <row r="38" spans="1:12" x14ac:dyDescent="0.25">
      <c r="A38" s="55"/>
      <c r="B38" s="58"/>
      <c r="C38" s="51" t="str">
        <f t="shared" si="4"/>
        <v>0x0C</v>
      </c>
      <c r="D38" s="51" t="s">
        <v>126</v>
      </c>
      <c r="E38" s="36" t="s">
        <v>277</v>
      </c>
      <c r="F38" s="51" t="s">
        <v>110</v>
      </c>
      <c r="G38" s="51" t="s">
        <v>62</v>
      </c>
      <c r="H38" s="51">
        <v>4</v>
      </c>
      <c r="I38" s="51" t="str">
        <f t="shared" si="5"/>
        <v xml:space="preserve">43 01 30 0C 00 00 00 00 </v>
      </c>
      <c r="J38" s="51" t="str">
        <f t="shared" si="7"/>
        <v>Set value to    1</v>
      </c>
      <c r="K38" s="51" t="str">
        <f t="shared" si="6"/>
        <v>23 01 30 0C 01 00 00 00</v>
      </c>
      <c r="L38" s="37" t="s">
        <v>153</v>
      </c>
    </row>
    <row r="39" spans="1:12" x14ac:dyDescent="0.25">
      <c r="A39" s="53" t="s">
        <v>293</v>
      </c>
      <c r="B39" s="56" t="s">
        <v>280</v>
      </c>
      <c r="C39" s="49" t="s">
        <v>2</v>
      </c>
      <c r="D39" s="49" t="s">
        <v>126</v>
      </c>
      <c r="E39" s="27" t="s">
        <v>281</v>
      </c>
      <c r="F39" s="49" t="s">
        <v>110</v>
      </c>
      <c r="G39" s="49" t="s">
        <v>16</v>
      </c>
      <c r="H39" s="49">
        <v>1</v>
      </c>
      <c r="I39" s="49" t="str">
        <f>"4"&amp;IF(H39=4,3,"F")&amp;" "&amp;RIGHT($B$39,2)&amp;" "&amp;"30 "&amp;RIGHT(C39,2)&amp;" 00 00 00 00 "</f>
        <v xml:space="preserve">4F 11 30 01 00 00 00 00 </v>
      </c>
      <c r="J39" s="49" t="str">
        <f t="shared" si="7"/>
        <v>Set value to    1</v>
      </c>
      <c r="K39" s="49" t="str">
        <f>"2"&amp;IF(H39=4,3,"F")&amp;" "&amp;RIGHT($B$39,2)&amp;" "&amp;"30 "&amp;RIGHT(C39,2)&amp;IF(G39="float"," 00 00 20 40 "," 01 00 00 00")</f>
        <v>2F 11 30 01 01 00 00 00</v>
      </c>
      <c r="L39" s="28" t="s">
        <v>298</v>
      </c>
    </row>
    <row r="40" spans="1:12" x14ac:dyDescent="0.25">
      <c r="A40" s="54"/>
      <c r="B40" s="57"/>
      <c r="C40" s="49" t="s">
        <v>96</v>
      </c>
      <c r="D40" s="49" t="s">
        <v>126</v>
      </c>
      <c r="E40" s="27" t="s">
        <v>282</v>
      </c>
      <c r="F40" s="49" t="s">
        <v>110</v>
      </c>
      <c r="G40" s="49" t="s">
        <v>16</v>
      </c>
      <c r="H40" s="49">
        <v>1</v>
      </c>
      <c r="I40" s="49" t="str">
        <f t="shared" ref="I40:I50" si="8">"4"&amp;IF(H40=4,3,"F")&amp;" "&amp;RIGHT($B$39,2)&amp;" "&amp;"30 "&amp;RIGHT(C40,2)&amp;" 00 00 00 00 "</f>
        <v xml:space="preserve">4F 11 30 02 00 00 00 00 </v>
      </c>
      <c r="J40" s="49" t="str">
        <f t="shared" si="7"/>
        <v>Set value to    1</v>
      </c>
      <c r="K40" s="49" t="str">
        <f t="shared" ref="K40:K50" si="9">"2"&amp;IF(H40=4,3,"F")&amp;" "&amp;RIGHT($B$39,2)&amp;" "&amp;"30 "&amp;RIGHT(C40,2)&amp;IF(G40="float"," 00 00 20 40 "," 01 00 00 00")</f>
        <v>2F 11 30 02 01 00 00 00</v>
      </c>
      <c r="L40" s="28" t="s">
        <v>299</v>
      </c>
    </row>
    <row r="41" spans="1:12" x14ac:dyDescent="0.25">
      <c r="A41" s="54"/>
      <c r="B41" s="57"/>
      <c r="C41" s="49" t="s">
        <v>263</v>
      </c>
      <c r="D41" s="49" t="s">
        <v>126</v>
      </c>
      <c r="E41" s="27" t="s">
        <v>283</v>
      </c>
      <c r="F41" s="49" t="s">
        <v>110</v>
      </c>
      <c r="G41" s="49" t="s">
        <v>16</v>
      </c>
      <c r="H41" s="49">
        <v>1</v>
      </c>
      <c r="I41" s="49" t="str">
        <f t="shared" si="8"/>
        <v xml:space="preserve">4F 11 30 03 00 00 00 00 </v>
      </c>
      <c r="J41" s="49" t="str">
        <f t="shared" si="7"/>
        <v>Set value to    1</v>
      </c>
      <c r="K41" s="49" t="str">
        <f t="shared" si="9"/>
        <v>2F 11 30 03 01 00 00 00</v>
      </c>
      <c r="L41" s="28" t="s">
        <v>300</v>
      </c>
    </row>
    <row r="42" spans="1:12" x14ac:dyDescent="0.25">
      <c r="A42" s="54"/>
      <c r="B42" s="57"/>
      <c r="C42" s="49" t="s">
        <v>264</v>
      </c>
      <c r="D42" s="49" t="s">
        <v>126</v>
      </c>
      <c r="E42" s="27" t="s">
        <v>284</v>
      </c>
      <c r="F42" s="49" t="s">
        <v>110</v>
      </c>
      <c r="G42" s="49" t="s">
        <v>16</v>
      </c>
      <c r="H42" s="49">
        <v>1</v>
      </c>
      <c r="I42" s="49" t="str">
        <f t="shared" si="8"/>
        <v xml:space="preserve">4F 11 30 04 00 00 00 00 </v>
      </c>
      <c r="J42" s="49" t="str">
        <f t="shared" si="7"/>
        <v>Set value to    1</v>
      </c>
      <c r="K42" s="49" t="str">
        <f t="shared" si="9"/>
        <v>2F 11 30 04 01 00 00 00</v>
      </c>
      <c r="L42" s="28" t="s">
        <v>301</v>
      </c>
    </row>
    <row r="43" spans="1:12" x14ac:dyDescent="0.25">
      <c r="A43" s="54"/>
      <c r="B43" s="57"/>
      <c r="C43" s="49" t="s">
        <v>228</v>
      </c>
      <c r="D43" s="49" t="s">
        <v>126</v>
      </c>
      <c r="E43" s="27" t="s">
        <v>285</v>
      </c>
      <c r="F43" s="49" t="s">
        <v>110</v>
      </c>
      <c r="G43" s="49" t="s">
        <v>16</v>
      </c>
      <c r="H43" s="49">
        <v>1</v>
      </c>
      <c r="I43" s="49" t="str">
        <f t="shared" si="8"/>
        <v xml:space="preserve">4F 11 30 05 00 00 00 00 </v>
      </c>
      <c r="J43" s="49" t="str">
        <f t="shared" si="7"/>
        <v>Set value to    1</v>
      </c>
      <c r="K43" s="49" t="str">
        <f t="shared" si="9"/>
        <v>2F 11 30 05 01 00 00 00</v>
      </c>
      <c r="L43" s="28" t="s">
        <v>302</v>
      </c>
    </row>
    <row r="44" spans="1:12" x14ac:dyDescent="0.25">
      <c r="A44" s="54"/>
      <c r="B44" s="57"/>
      <c r="C44" s="49" t="s">
        <v>265</v>
      </c>
      <c r="D44" s="49" t="s">
        <v>126</v>
      </c>
      <c r="E44" s="27" t="s">
        <v>286</v>
      </c>
      <c r="F44" s="49" t="s">
        <v>110</v>
      </c>
      <c r="G44" s="49" t="s">
        <v>16</v>
      </c>
      <c r="H44" s="49">
        <v>1</v>
      </c>
      <c r="I44" s="49" t="str">
        <f t="shared" si="8"/>
        <v xml:space="preserve">4F 11 30 06 00 00 00 00 </v>
      </c>
      <c r="J44" s="49" t="str">
        <f t="shared" si="7"/>
        <v>Set value to    1</v>
      </c>
      <c r="K44" s="49" t="str">
        <f t="shared" si="9"/>
        <v>2F 11 30 06 01 00 00 00</v>
      </c>
      <c r="L44" s="28" t="s">
        <v>303</v>
      </c>
    </row>
    <row r="45" spans="1:12" ht="14.4" customHeight="1" x14ac:dyDescent="0.25">
      <c r="A45" s="54"/>
      <c r="B45" s="57"/>
      <c r="C45" s="49" t="s">
        <v>266</v>
      </c>
      <c r="D45" s="49" t="s">
        <v>126</v>
      </c>
      <c r="E45" s="27" t="s">
        <v>287</v>
      </c>
      <c r="F45" s="49" t="s">
        <v>110</v>
      </c>
      <c r="G45" s="49" t="s">
        <v>16</v>
      </c>
      <c r="H45" s="49">
        <v>1</v>
      </c>
      <c r="I45" s="49" t="str">
        <f t="shared" si="8"/>
        <v xml:space="preserve">4F 11 30 07 00 00 00 00 </v>
      </c>
      <c r="J45" s="49" t="str">
        <f t="shared" si="7"/>
        <v>Set value to    1</v>
      </c>
      <c r="K45" s="49" t="str">
        <f t="shared" si="9"/>
        <v>2F 11 30 07 01 00 00 00</v>
      </c>
      <c r="L45" s="28" t="s">
        <v>304</v>
      </c>
    </row>
    <row r="46" spans="1:12" x14ac:dyDescent="0.25">
      <c r="A46" s="54"/>
      <c r="B46" s="57"/>
      <c r="C46" s="49" t="s">
        <v>294</v>
      </c>
      <c r="D46" s="49" t="s">
        <v>126</v>
      </c>
      <c r="E46" s="27" t="s">
        <v>292</v>
      </c>
      <c r="F46" s="49" t="s">
        <v>110</v>
      </c>
      <c r="G46" s="49" t="s">
        <v>16</v>
      </c>
      <c r="H46" s="49">
        <v>1</v>
      </c>
      <c r="I46" s="49" t="str">
        <f t="shared" si="8"/>
        <v xml:space="preserve">4F 11 30 08 00 00 00 00 </v>
      </c>
      <c r="J46" s="49" t="str">
        <f t="shared" si="7"/>
        <v>Set value to    1</v>
      </c>
      <c r="K46" s="49" t="str">
        <f t="shared" si="9"/>
        <v>2F 11 30 08 01 00 00 00</v>
      </c>
      <c r="L46" s="28" t="s">
        <v>305</v>
      </c>
    </row>
    <row r="47" spans="1:12" x14ac:dyDescent="0.25">
      <c r="A47" s="54"/>
      <c r="B47" s="57"/>
      <c r="C47" s="49" t="s">
        <v>295</v>
      </c>
      <c r="D47" s="49" t="s">
        <v>120</v>
      </c>
      <c r="E47" s="27" t="s">
        <v>289</v>
      </c>
      <c r="F47" s="49" t="s">
        <v>110</v>
      </c>
      <c r="G47" s="49" t="s">
        <v>62</v>
      </c>
      <c r="H47" s="49">
        <v>4</v>
      </c>
      <c r="I47" s="49" t="str">
        <f t="shared" si="8"/>
        <v xml:space="preserve">43 11 30 09 00 00 00 00 </v>
      </c>
      <c r="J47" s="49" t="str">
        <f t="shared" si="7"/>
        <v>Set value to    1</v>
      </c>
      <c r="K47" s="49" t="str">
        <f t="shared" si="9"/>
        <v>23 11 30 09 01 00 00 00</v>
      </c>
      <c r="L47" s="28" t="s">
        <v>306</v>
      </c>
    </row>
    <row r="48" spans="1:12" x14ac:dyDescent="0.25">
      <c r="A48" s="54"/>
      <c r="B48" s="57"/>
      <c r="C48" s="49" t="s">
        <v>296</v>
      </c>
      <c r="D48" s="49" t="s">
        <v>126</v>
      </c>
      <c r="E48" s="27" t="s">
        <v>288</v>
      </c>
      <c r="F48" s="49" t="s">
        <v>110</v>
      </c>
      <c r="G48" s="49" t="s">
        <v>62</v>
      </c>
      <c r="H48" s="49">
        <v>4</v>
      </c>
      <c r="I48" s="49" t="str">
        <f t="shared" si="8"/>
        <v xml:space="preserve">43 11 30 0A 00 00 00 00 </v>
      </c>
      <c r="J48" s="49" t="str">
        <f t="shared" si="7"/>
        <v>Set value to    1</v>
      </c>
      <c r="K48" s="49" t="str">
        <f t="shared" si="9"/>
        <v>23 11 30 0A 01 00 00 00</v>
      </c>
      <c r="L48" s="28" t="s">
        <v>307</v>
      </c>
    </row>
    <row r="49" spans="1:12" x14ac:dyDescent="0.25">
      <c r="A49" s="54"/>
      <c r="B49" s="57"/>
      <c r="C49" s="49" t="s">
        <v>254</v>
      </c>
      <c r="D49" s="49" t="s">
        <v>126</v>
      </c>
      <c r="E49" s="27" t="s">
        <v>290</v>
      </c>
      <c r="F49" s="49" t="s">
        <v>110</v>
      </c>
      <c r="G49" s="49" t="s">
        <v>62</v>
      </c>
      <c r="H49" s="49">
        <v>4</v>
      </c>
      <c r="I49" s="49" t="str">
        <f t="shared" si="8"/>
        <v xml:space="preserve">43 11 30 0B 00 00 00 00 </v>
      </c>
      <c r="J49" s="49" t="str">
        <f t="shared" si="7"/>
        <v>Set value to    1</v>
      </c>
      <c r="K49" s="49" t="str">
        <f t="shared" si="9"/>
        <v>23 11 30 0B 01 00 00 00</v>
      </c>
      <c r="L49" s="91" t="s">
        <v>308</v>
      </c>
    </row>
    <row r="50" spans="1:12" x14ac:dyDescent="0.25">
      <c r="A50" s="55"/>
      <c r="B50" s="58"/>
      <c r="C50" s="51" t="s">
        <v>297</v>
      </c>
      <c r="D50" s="49" t="s">
        <v>126</v>
      </c>
      <c r="E50" s="27" t="s">
        <v>291</v>
      </c>
      <c r="F50" s="49" t="s">
        <v>110</v>
      </c>
      <c r="G50" s="49" t="s">
        <v>15</v>
      </c>
      <c r="H50" s="49">
        <v>4</v>
      </c>
      <c r="I50" s="49" t="str">
        <f t="shared" si="8"/>
        <v xml:space="preserve">43 11 30 0C 00 00 00 00 </v>
      </c>
      <c r="J50" s="51" t="str">
        <f t="shared" si="7"/>
        <v>Set value to 2.5</v>
      </c>
      <c r="K50" s="51" t="str">
        <f t="shared" si="9"/>
        <v xml:space="preserve">23 11 30 0C 00 00 20 40 </v>
      </c>
      <c r="L50" s="28" t="s">
        <v>309</v>
      </c>
    </row>
    <row r="51" spans="1:12" ht="17.399999999999999" customHeight="1" x14ac:dyDescent="0.25">
      <c r="A51" s="63" t="s">
        <v>124</v>
      </c>
      <c r="B51" s="60" t="s">
        <v>127</v>
      </c>
      <c r="C51" s="49" t="str">
        <f t="shared" ref="C51:C75" si="10">"0x"&amp;DEC2HEX(ROW()-ROW($A$51)+1,2)</f>
        <v>0x01</v>
      </c>
      <c r="D51" s="52" t="s">
        <v>126</v>
      </c>
      <c r="E51" s="34" t="s">
        <v>11</v>
      </c>
      <c r="F51" s="52" t="s">
        <v>110</v>
      </c>
      <c r="G51" s="52" t="s">
        <v>15</v>
      </c>
      <c r="H51" s="52">
        <v>4</v>
      </c>
      <c r="I51" s="52" t="str">
        <f t="shared" ref="I51:I75" si="11">"4"&amp;IF(H51=4,3,"F")&amp;" "&amp;RIGHT($B$51,2)&amp;" "&amp;"30 "&amp;RIGHT(C51,2)&amp;" 00 00 00 00 "</f>
        <v xml:space="preserve">43 02 30 01 00 00 00 00 </v>
      </c>
      <c r="J51" s="49" t="str">
        <f t="shared" si="7"/>
        <v>Set value to 2.5</v>
      </c>
      <c r="K51" s="49" t="str">
        <f t="shared" ref="K51:K75" si="12">"2"&amp;IF(H51=4,3,"F")&amp;" "&amp;RIGHT($B$51,2)&amp;" "&amp;"30 "&amp;RIGHT(C51,2)&amp;IF(G51="float"," 00 00 20 40 "," 01 00 00 00")</f>
        <v xml:space="preserve">23 02 30 01 00 00 20 40 </v>
      </c>
      <c r="L51" s="35"/>
    </row>
    <row r="52" spans="1:12" x14ac:dyDescent="0.25">
      <c r="A52" s="64"/>
      <c r="B52" s="61"/>
      <c r="C52" s="49" t="str">
        <f t="shared" si="10"/>
        <v>0x02</v>
      </c>
      <c r="D52" s="49" t="s">
        <v>126</v>
      </c>
      <c r="E52" s="27" t="s">
        <v>7</v>
      </c>
      <c r="F52" s="49" t="s">
        <v>110</v>
      </c>
      <c r="G52" s="49" t="s">
        <v>15</v>
      </c>
      <c r="H52" s="49">
        <v>4</v>
      </c>
      <c r="I52" s="49" t="str">
        <f t="shared" si="11"/>
        <v xml:space="preserve">43 02 30 02 00 00 00 00 </v>
      </c>
      <c r="J52" s="49" t="str">
        <f t="shared" si="7"/>
        <v>Set value to 2.5</v>
      </c>
      <c r="K52" s="49" t="str">
        <f t="shared" si="12"/>
        <v xml:space="preserve">23 02 30 02 00 00 20 40 </v>
      </c>
      <c r="L52" s="28"/>
    </row>
    <row r="53" spans="1:12" x14ac:dyDescent="0.25">
      <c r="A53" s="64"/>
      <c r="B53" s="61"/>
      <c r="C53" s="49" t="str">
        <f t="shared" si="10"/>
        <v>0x03</v>
      </c>
      <c r="D53" s="49" t="s">
        <v>126</v>
      </c>
      <c r="E53" s="27" t="s">
        <v>53</v>
      </c>
      <c r="F53" s="49" t="s">
        <v>110</v>
      </c>
      <c r="G53" s="49" t="s">
        <v>15</v>
      </c>
      <c r="H53" s="49">
        <v>4</v>
      </c>
      <c r="I53" s="49" t="str">
        <f t="shared" si="11"/>
        <v xml:space="preserve">43 02 30 03 00 00 00 00 </v>
      </c>
      <c r="J53" s="49" t="str">
        <f t="shared" si="7"/>
        <v>Set value to 2.5</v>
      </c>
      <c r="K53" s="49" t="str">
        <f t="shared" si="12"/>
        <v xml:space="preserve">23 02 30 03 00 00 20 40 </v>
      </c>
      <c r="L53" s="28"/>
    </row>
    <row r="54" spans="1:12" x14ac:dyDescent="0.25">
      <c r="A54" s="64"/>
      <c r="B54" s="61"/>
      <c r="C54" s="49" t="str">
        <f t="shared" si="10"/>
        <v>0x04</v>
      </c>
      <c r="D54" s="49" t="s">
        <v>126</v>
      </c>
      <c r="E54" s="27" t="s">
        <v>54</v>
      </c>
      <c r="F54" s="49" t="s">
        <v>112</v>
      </c>
      <c r="G54" s="49" t="s">
        <v>15</v>
      </c>
      <c r="H54" s="49">
        <v>4</v>
      </c>
      <c r="I54" s="49" t="str">
        <f t="shared" si="11"/>
        <v xml:space="preserve">43 02 30 04 00 00 00 00 </v>
      </c>
      <c r="J54" s="49" t="str">
        <f t="shared" si="7"/>
        <v>Set value to 2.5</v>
      </c>
      <c r="K54" s="49" t="str">
        <f t="shared" si="12"/>
        <v xml:space="preserve">23 02 30 04 00 00 20 40 </v>
      </c>
      <c r="L54" s="28"/>
    </row>
    <row r="55" spans="1:12" x14ac:dyDescent="0.25">
      <c r="A55" s="64"/>
      <c r="B55" s="61"/>
      <c r="C55" s="49" t="str">
        <f t="shared" si="10"/>
        <v>0x05</v>
      </c>
      <c r="D55" s="49" t="s">
        <v>126</v>
      </c>
      <c r="E55" s="27" t="s">
        <v>119</v>
      </c>
      <c r="F55" s="49" t="s">
        <v>112</v>
      </c>
      <c r="G55" s="49" t="s">
        <v>16</v>
      </c>
      <c r="H55" s="49">
        <v>1</v>
      </c>
      <c r="I55" s="49" t="str">
        <f t="shared" si="11"/>
        <v xml:space="preserve">4F 02 30 05 00 00 00 00 </v>
      </c>
      <c r="J55" s="49" t="str">
        <f t="shared" si="7"/>
        <v>Set value to    1</v>
      </c>
      <c r="K55" s="49" t="str">
        <f t="shared" si="12"/>
        <v>2F 02 30 05 01 00 00 00</v>
      </c>
      <c r="L55" s="28" t="s">
        <v>122</v>
      </c>
    </row>
    <row r="56" spans="1:12" x14ac:dyDescent="0.25">
      <c r="A56" s="64"/>
      <c r="B56" s="61"/>
      <c r="C56" s="49" t="str">
        <f t="shared" si="10"/>
        <v>0x06</v>
      </c>
      <c r="D56" s="49" t="s">
        <v>126</v>
      </c>
      <c r="E56" s="27" t="s">
        <v>8</v>
      </c>
      <c r="F56" s="49" t="s">
        <v>113</v>
      </c>
      <c r="G56" s="49" t="s">
        <v>62</v>
      </c>
      <c r="H56" s="49">
        <v>4</v>
      </c>
      <c r="I56" s="49" t="str">
        <f t="shared" si="11"/>
        <v xml:space="preserve">43 02 30 06 00 00 00 00 </v>
      </c>
      <c r="J56" s="49" t="str">
        <f t="shared" si="7"/>
        <v>Set value to    1</v>
      </c>
      <c r="K56" s="49" t="str">
        <f t="shared" si="12"/>
        <v>23 02 30 06 01 00 00 00</v>
      </c>
      <c r="L56" s="28"/>
    </row>
    <row r="57" spans="1:12" x14ac:dyDescent="0.25">
      <c r="A57" s="64"/>
      <c r="B57" s="61"/>
      <c r="C57" s="49" t="str">
        <f t="shared" si="10"/>
        <v>0x07</v>
      </c>
      <c r="D57" s="49" t="s">
        <v>126</v>
      </c>
      <c r="E57" s="27" t="s">
        <v>9</v>
      </c>
      <c r="F57" s="49" t="s">
        <v>113</v>
      </c>
      <c r="G57" s="49" t="s">
        <v>15</v>
      </c>
      <c r="H57" s="49">
        <v>4</v>
      </c>
      <c r="I57" s="49" t="str">
        <f t="shared" si="11"/>
        <v xml:space="preserve">43 02 30 07 00 00 00 00 </v>
      </c>
      <c r="J57" s="49" t="str">
        <f t="shared" si="7"/>
        <v>Set value to 2.5</v>
      </c>
      <c r="K57" s="49" t="str">
        <f t="shared" si="12"/>
        <v xml:space="preserve">23 02 30 07 00 00 20 40 </v>
      </c>
      <c r="L57" s="28"/>
    </row>
    <row r="58" spans="1:12" x14ac:dyDescent="0.25">
      <c r="A58" s="64"/>
      <c r="B58" s="61"/>
      <c r="C58" s="49" t="str">
        <f t="shared" si="10"/>
        <v>0x08</v>
      </c>
      <c r="D58" s="49" t="s">
        <v>126</v>
      </c>
      <c r="E58" s="27" t="s">
        <v>42</v>
      </c>
      <c r="F58" s="49" t="s">
        <v>110</v>
      </c>
      <c r="G58" s="49" t="s">
        <v>15</v>
      </c>
      <c r="H58" s="49">
        <v>4</v>
      </c>
      <c r="I58" s="49" t="str">
        <f t="shared" si="11"/>
        <v xml:space="preserve">43 02 30 08 00 00 00 00 </v>
      </c>
      <c r="J58" s="49" t="str">
        <f t="shared" si="7"/>
        <v>Set value to 2.5</v>
      </c>
      <c r="K58" s="49" t="str">
        <f t="shared" si="12"/>
        <v xml:space="preserve">23 02 30 08 00 00 20 40 </v>
      </c>
      <c r="L58" s="28"/>
    </row>
    <row r="59" spans="1:12" x14ac:dyDescent="0.25">
      <c r="A59" s="64"/>
      <c r="B59" s="61"/>
      <c r="C59" s="49" t="str">
        <f t="shared" si="10"/>
        <v>0x09</v>
      </c>
      <c r="D59" s="49" t="s">
        <v>126</v>
      </c>
      <c r="E59" s="27" t="s">
        <v>10</v>
      </c>
      <c r="F59" s="49" t="s">
        <v>110</v>
      </c>
      <c r="G59" s="49" t="s">
        <v>15</v>
      </c>
      <c r="H59" s="49">
        <v>4</v>
      </c>
      <c r="I59" s="49" t="str">
        <f t="shared" si="11"/>
        <v xml:space="preserve">43 02 30 09 00 00 00 00 </v>
      </c>
      <c r="J59" s="49" t="str">
        <f t="shared" si="7"/>
        <v>Set value to 2.5</v>
      </c>
      <c r="K59" s="49" t="str">
        <f t="shared" si="12"/>
        <v xml:space="preserve">23 02 30 09 00 00 20 40 </v>
      </c>
      <c r="L59" s="28"/>
    </row>
    <row r="60" spans="1:12" x14ac:dyDescent="0.25">
      <c r="A60" s="64"/>
      <c r="B60" s="61"/>
      <c r="C60" s="49" t="str">
        <f t="shared" si="10"/>
        <v>0x0A</v>
      </c>
      <c r="D60" s="49" t="s">
        <v>126</v>
      </c>
      <c r="E60" s="27" t="s">
        <v>43</v>
      </c>
      <c r="F60" s="49" t="s">
        <v>114</v>
      </c>
      <c r="G60" s="49" t="s">
        <v>15</v>
      </c>
      <c r="H60" s="49">
        <v>4</v>
      </c>
      <c r="I60" s="49" t="str">
        <f t="shared" si="11"/>
        <v xml:space="preserve">43 02 30 0A 00 00 00 00 </v>
      </c>
      <c r="J60" s="49" t="str">
        <f t="shared" si="7"/>
        <v>Set value to 2.5</v>
      </c>
      <c r="K60" s="49" t="str">
        <f t="shared" si="12"/>
        <v xml:space="preserve">23 02 30 0A 00 00 20 40 </v>
      </c>
      <c r="L60" s="28"/>
    </row>
    <row r="61" spans="1:12" x14ac:dyDescent="0.25">
      <c r="A61" s="64"/>
      <c r="B61" s="61"/>
      <c r="C61" s="49" t="str">
        <f t="shared" si="10"/>
        <v>0x0B</v>
      </c>
      <c r="D61" s="49" t="s">
        <v>126</v>
      </c>
      <c r="E61" s="27" t="s">
        <v>46</v>
      </c>
      <c r="F61" s="49" t="s">
        <v>114</v>
      </c>
      <c r="G61" s="49" t="s">
        <v>15</v>
      </c>
      <c r="H61" s="49">
        <v>4</v>
      </c>
      <c r="I61" s="49" t="str">
        <f t="shared" si="11"/>
        <v xml:space="preserve">43 02 30 0B 00 00 00 00 </v>
      </c>
      <c r="J61" s="49" t="str">
        <f t="shared" si="7"/>
        <v>Set value to 2.5</v>
      </c>
      <c r="K61" s="49" t="str">
        <f t="shared" si="12"/>
        <v xml:space="preserve">23 02 30 0B 00 00 20 40 </v>
      </c>
      <c r="L61" s="28"/>
    </row>
    <row r="62" spans="1:12" x14ac:dyDescent="0.25">
      <c r="A62" s="64"/>
      <c r="B62" s="61"/>
      <c r="C62" s="49" t="str">
        <f t="shared" si="10"/>
        <v>0x0C</v>
      </c>
      <c r="D62" s="49" t="s">
        <v>126</v>
      </c>
      <c r="E62" s="27" t="s">
        <v>12</v>
      </c>
      <c r="F62" s="49" t="s">
        <v>114</v>
      </c>
      <c r="G62" s="49" t="s">
        <v>16</v>
      </c>
      <c r="H62" s="49">
        <v>1</v>
      </c>
      <c r="I62" s="49" t="str">
        <f t="shared" si="11"/>
        <v xml:space="preserve">4F 02 30 0C 00 00 00 00 </v>
      </c>
      <c r="J62" s="49" t="str">
        <f t="shared" si="7"/>
        <v>Set value to    1</v>
      </c>
      <c r="K62" s="49" t="str">
        <f t="shared" si="12"/>
        <v>2F 02 30 0C 01 00 00 00</v>
      </c>
      <c r="L62" s="28" t="s">
        <v>122</v>
      </c>
    </row>
    <row r="63" spans="1:12" x14ac:dyDescent="0.25">
      <c r="A63" s="64"/>
      <c r="B63" s="61"/>
      <c r="C63" s="49" t="str">
        <f t="shared" si="10"/>
        <v>0x0D</v>
      </c>
      <c r="D63" s="49" t="s">
        <v>126</v>
      </c>
      <c r="E63" s="27" t="s">
        <v>52</v>
      </c>
      <c r="F63" s="49" t="s">
        <v>110</v>
      </c>
      <c r="G63" s="49" t="s">
        <v>16</v>
      </c>
      <c r="H63" s="49">
        <v>1</v>
      </c>
      <c r="I63" s="49" t="str">
        <f t="shared" si="11"/>
        <v xml:space="preserve">4F 02 30 0D 00 00 00 00 </v>
      </c>
      <c r="J63" s="49" t="str">
        <f t="shared" si="7"/>
        <v>Set value to    1</v>
      </c>
      <c r="K63" s="49" t="str">
        <f t="shared" si="12"/>
        <v>2F 02 30 0D 01 00 00 00</v>
      </c>
      <c r="L63" s="28" t="s">
        <v>122</v>
      </c>
    </row>
    <row r="64" spans="1:12" x14ac:dyDescent="0.25">
      <c r="A64" s="64"/>
      <c r="B64" s="61"/>
      <c r="C64" s="49" t="str">
        <f t="shared" si="10"/>
        <v>0x0E</v>
      </c>
      <c r="D64" s="49" t="s">
        <v>126</v>
      </c>
      <c r="E64" s="27" t="s">
        <v>13</v>
      </c>
      <c r="F64" s="49" t="s">
        <v>110</v>
      </c>
      <c r="G64" s="49" t="s">
        <v>16</v>
      </c>
      <c r="H64" s="49">
        <v>1</v>
      </c>
      <c r="I64" s="49" t="str">
        <f t="shared" si="11"/>
        <v xml:space="preserve">4F 02 30 0E 00 00 00 00 </v>
      </c>
      <c r="J64" s="49" t="str">
        <f t="shared" si="7"/>
        <v>Set value to    1</v>
      </c>
      <c r="K64" s="49" t="str">
        <f t="shared" si="12"/>
        <v>2F 02 30 0E 01 00 00 00</v>
      </c>
      <c r="L64" s="28" t="s">
        <v>122</v>
      </c>
    </row>
    <row r="65" spans="1:12" x14ac:dyDescent="0.25">
      <c r="A65" s="64"/>
      <c r="B65" s="61"/>
      <c r="C65" s="49" t="str">
        <f t="shared" si="10"/>
        <v>0x0F</v>
      </c>
      <c r="D65" s="49" t="s">
        <v>126</v>
      </c>
      <c r="E65" s="27" t="s">
        <v>14</v>
      </c>
      <c r="F65" s="49" t="s">
        <v>111</v>
      </c>
      <c r="G65" s="49" t="s">
        <v>16</v>
      </c>
      <c r="H65" s="49">
        <v>1</v>
      </c>
      <c r="I65" s="49" t="str">
        <f t="shared" si="11"/>
        <v xml:space="preserve">4F 02 30 0F 00 00 00 00 </v>
      </c>
      <c r="J65" s="49" t="str">
        <f t="shared" si="7"/>
        <v>Set value to    1</v>
      </c>
      <c r="K65" s="49" t="str">
        <f t="shared" si="12"/>
        <v>2F 02 30 0F 01 00 00 00</v>
      </c>
      <c r="L65" s="28" t="s">
        <v>122</v>
      </c>
    </row>
    <row r="66" spans="1:12" x14ac:dyDescent="0.25">
      <c r="A66" s="64"/>
      <c r="B66" s="61"/>
      <c r="C66" s="49" t="str">
        <f t="shared" si="10"/>
        <v>0x10</v>
      </c>
      <c r="D66" s="49" t="s">
        <v>126</v>
      </c>
      <c r="E66" s="27" t="s">
        <v>29</v>
      </c>
      <c r="F66" s="49" t="s">
        <v>111</v>
      </c>
      <c r="G66" s="49" t="s">
        <v>15</v>
      </c>
      <c r="H66" s="49">
        <v>4</v>
      </c>
      <c r="I66" s="49" t="str">
        <f t="shared" si="11"/>
        <v xml:space="preserve">43 02 30 10 00 00 00 00 </v>
      </c>
      <c r="J66" s="49" t="str">
        <f t="shared" si="7"/>
        <v>Set value to 2.5</v>
      </c>
      <c r="K66" s="49" t="str">
        <f t="shared" si="12"/>
        <v xml:space="preserve">23 02 30 10 00 00 20 40 </v>
      </c>
      <c r="L66" s="28"/>
    </row>
    <row r="67" spans="1:12" x14ac:dyDescent="0.25">
      <c r="A67" s="64"/>
      <c r="B67" s="61"/>
      <c r="C67" s="49" t="str">
        <f t="shared" si="10"/>
        <v>0x11</v>
      </c>
      <c r="D67" s="49" t="s">
        <v>126</v>
      </c>
      <c r="E67" s="27" t="s">
        <v>156</v>
      </c>
      <c r="F67" s="49" t="s">
        <v>110</v>
      </c>
      <c r="G67" s="49" t="s">
        <v>16</v>
      </c>
      <c r="H67" s="49">
        <v>1</v>
      </c>
      <c r="I67" s="49" t="str">
        <f t="shared" si="11"/>
        <v xml:space="preserve">4F 02 30 11 00 00 00 00 </v>
      </c>
      <c r="J67" s="49" t="str">
        <f t="shared" si="7"/>
        <v>Set value to    1</v>
      </c>
      <c r="K67" s="49" t="str">
        <f t="shared" si="12"/>
        <v>2F 02 30 11 01 00 00 00</v>
      </c>
      <c r="L67" s="28" t="s">
        <v>122</v>
      </c>
    </row>
    <row r="68" spans="1:12" x14ac:dyDescent="0.25">
      <c r="A68" s="64"/>
      <c r="B68" s="61"/>
      <c r="C68" s="49" t="str">
        <f t="shared" si="10"/>
        <v>0x12</v>
      </c>
      <c r="D68" s="49" t="s">
        <v>126</v>
      </c>
      <c r="E68" s="27" t="s">
        <v>158</v>
      </c>
      <c r="F68" s="49" t="s">
        <v>110</v>
      </c>
      <c r="G68" s="49" t="s">
        <v>15</v>
      </c>
      <c r="H68" s="49">
        <v>4</v>
      </c>
      <c r="I68" s="49" t="str">
        <f t="shared" si="11"/>
        <v xml:space="preserve">43 02 30 12 00 00 00 00 </v>
      </c>
      <c r="J68" s="49" t="str">
        <f t="shared" si="7"/>
        <v>Set value to 2.5</v>
      </c>
      <c r="K68" s="49" t="str">
        <f t="shared" si="12"/>
        <v xml:space="preserve">23 02 30 12 00 00 20 40 </v>
      </c>
      <c r="L68" s="28"/>
    </row>
    <row r="69" spans="1:12" x14ac:dyDescent="0.25">
      <c r="A69" s="64"/>
      <c r="B69" s="61"/>
      <c r="C69" s="49" t="str">
        <f t="shared" si="10"/>
        <v>0x13</v>
      </c>
      <c r="D69" s="49" t="s">
        <v>126</v>
      </c>
      <c r="E69" s="27" t="s">
        <v>157</v>
      </c>
      <c r="F69" s="49" t="s">
        <v>112</v>
      </c>
      <c r="G69" s="49" t="s">
        <v>15</v>
      </c>
      <c r="H69" s="49">
        <v>4</v>
      </c>
      <c r="I69" s="49" t="str">
        <f t="shared" si="11"/>
        <v xml:space="preserve">43 02 30 13 00 00 00 00 </v>
      </c>
      <c r="J69" s="49" t="str">
        <f t="shared" si="7"/>
        <v>Set value to 2.5</v>
      </c>
      <c r="K69" s="49" t="str">
        <f t="shared" si="12"/>
        <v xml:space="preserve">23 02 30 13 00 00 20 40 </v>
      </c>
      <c r="L69" s="28"/>
    </row>
    <row r="70" spans="1:12" x14ac:dyDescent="0.25">
      <c r="A70" s="64"/>
      <c r="B70" s="61"/>
      <c r="C70" s="49" t="str">
        <f t="shared" si="10"/>
        <v>0x14</v>
      </c>
      <c r="D70" s="49" t="s">
        <v>126</v>
      </c>
      <c r="E70" s="27" t="s">
        <v>159</v>
      </c>
      <c r="F70" s="49" t="s">
        <v>110</v>
      </c>
      <c r="G70" s="49" t="s">
        <v>15</v>
      </c>
      <c r="H70" s="49">
        <v>4</v>
      </c>
      <c r="I70" s="49" t="str">
        <f t="shared" si="11"/>
        <v xml:space="preserve">43 02 30 14 00 00 00 00 </v>
      </c>
      <c r="J70" s="49" t="str">
        <f t="shared" si="7"/>
        <v>Set value to 2.5</v>
      </c>
      <c r="K70" s="49" t="str">
        <f t="shared" si="12"/>
        <v xml:space="preserve">23 02 30 14 00 00 20 40 </v>
      </c>
      <c r="L70" s="28"/>
    </row>
    <row r="71" spans="1:12" x14ac:dyDescent="0.25">
      <c r="A71" s="64"/>
      <c r="B71" s="61"/>
      <c r="C71" s="49" t="str">
        <f t="shared" si="10"/>
        <v>0x15</v>
      </c>
      <c r="D71" s="49" t="s">
        <v>126</v>
      </c>
      <c r="E71" s="27" t="s">
        <v>160</v>
      </c>
      <c r="F71" s="49" t="s">
        <v>252</v>
      </c>
      <c r="G71" s="49" t="s">
        <v>16</v>
      </c>
      <c r="H71" s="49">
        <v>1</v>
      </c>
      <c r="I71" s="49" t="str">
        <f t="shared" si="11"/>
        <v xml:space="preserve">4F 02 30 15 00 00 00 00 </v>
      </c>
      <c r="J71" s="49" t="str">
        <f t="shared" si="7"/>
        <v>Set value to    1</v>
      </c>
      <c r="K71" s="49" t="str">
        <f t="shared" si="12"/>
        <v>2F 02 30 15 01 00 00 00</v>
      </c>
      <c r="L71" s="28" t="s">
        <v>122</v>
      </c>
    </row>
    <row r="72" spans="1:12" x14ac:dyDescent="0.25">
      <c r="A72" s="64"/>
      <c r="B72" s="61"/>
      <c r="C72" s="49" t="str">
        <f t="shared" si="10"/>
        <v>0x16</v>
      </c>
      <c r="D72" s="49" t="s">
        <v>126</v>
      </c>
      <c r="E72" s="27" t="s">
        <v>161</v>
      </c>
      <c r="F72" s="49" t="s">
        <v>252</v>
      </c>
      <c r="G72" s="49" t="s">
        <v>15</v>
      </c>
      <c r="H72" s="49">
        <v>4</v>
      </c>
      <c r="I72" s="49" t="str">
        <f t="shared" si="11"/>
        <v xml:space="preserve">43 02 30 16 00 00 00 00 </v>
      </c>
      <c r="J72" s="49" t="str">
        <f t="shared" si="7"/>
        <v>Set value to 2.5</v>
      </c>
      <c r="K72" s="49" t="str">
        <f t="shared" si="12"/>
        <v xml:space="preserve">23 02 30 16 00 00 20 40 </v>
      </c>
      <c r="L72" s="28"/>
    </row>
    <row r="73" spans="1:12" x14ac:dyDescent="0.25">
      <c r="A73" s="64"/>
      <c r="B73" s="61"/>
      <c r="C73" s="49" t="str">
        <f t="shared" si="10"/>
        <v>0x17</v>
      </c>
      <c r="D73" s="49" t="s">
        <v>126</v>
      </c>
      <c r="E73" s="27" t="s">
        <v>162</v>
      </c>
      <c r="F73" s="49" t="s">
        <v>111</v>
      </c>
      <c r="G73" s="49" t="s">
        <v>15</v>
      </c>
      <c r="H73" s="49">
        <v>4</v>
      </c>
      <c r="I73" s="49" t="str">
        <f t="shared" si="11"/>
        <v xml:space="preserve">43 02 30 17 00 00 00 00 </v>
      </c>
      <c r="J73" s="49" t="str">
        <f t="shared" si="7"/>
        <v>Set value to 2.5</v>
      </c>
      <c r="K73" s="49" t="str">
        <f t="shared" si="12"/>
        <v xml:space="preserve">23 02 30 17 00 00 20 40 </v>
      </c>
      <c r="L73" s="28"/>
    </row>
    <row r="74" spans="1:12" x14ac:dyDescent="0.25">
      <c r="A74" s="64"/>
      <c r="B74" s="61"/>
      <c r="C74" s="49" t="str">
        <f t="shared" si="10"/>
        <v>0x18</v>
      </c>
      <c r="D74" s="49" t="s">
        <v>126</v>
      </c>
      <c r="E74" s="27" t="s">
        <v>163</v>
      </c>
      <c r="F74" s="49" t="s">
        <v>252</v>
      </c>
      <c r="G74" s="49" t="s">
        <v>15</v>
      </c>
      <c r="H74" s="49">
        <v>4</v>
      </c>
      <c r="I74" s="49" t="str">
        <f t="shared" si="11"/>
        <v xml:space="preserve">43 02 30 18 00 00 00 00 </v>
      </c>
      <c r="J74" s="49" t="str">
        <f t="shared" si="7"/>
        <v>Set value to 2.5</v>
      </c>
      <c r="K74" s="49" t="str">
        <f t="shared" si="12"/>
        <v xml:space="preserve">23 02 30 18 00 00 20 40 </v>
      </c>
      <c r="L74" s="28"/>
    </row>
    <row r="75" spans="1:12" x14ac:dyDescent="0.25">
      <c r="A75" s="65"/>
      <c r="B75" s="62"/>
      <c r="C75" s="51" t="str">
        <f t="shared" si="10"/>
        <v>0x19</v>
      </c>
      <c r="D75" s="51" t="s">
        <v>126</v>
      </c>
      <c r="E75" s="27" t="s">
        <v>164</v>
      </c>
      <c r="F75" s="49" t="s">
        <v>252</v>
      </c>
      <c r="G75" s="49" t="s">
        <v>15</v>
      </c>
      <c r="H75" s="49">
        <v>4</v>
      </c>
      <c r="I75" s="49" t="str">
        <f t="shared" si="11"/>
        <v xml:space="preserve">43 02 30 19 00 00 00 00 </v>
      </c>
      <c r="J75" s="51" t="str">
        <f t="shared" si="7"/>
        <v>Set value to 2.5</v>
      </c>
      <c r="K75" s="49" t="str">
        <f t="shared" si="12"/>
        <v xml:space="preserve">23 02 30 19 00 00 20 40 </v>
      </c>
      <c r="L75" s="28"/>
    </row>
    <row r="76" spans="1:12" ht="13.8" customHeight="1" x14ac:dyDescent="0.25">
      <c r="A76" s="53" t="s">
        <v>17</v>
      </c>
      <c r="B76" s="60" t="s">
        <v>128</v>
      </c>
      <c r="C76" s="49" t="str">
        <f t="shared" ref="C76:C106" si="13">"0x"&amp;DEC2HEX(ROW()-ROW($A$76)+1,2)</f>
        <v>0x01</v>
      </c>
      <c r="D76" s="52" t="s">
        <v>126</v>
      </c>
      <c r="E76" s="34" t="s">
        <v>18</v>
      </c>
      <c r="F76" s="52" t="s">
        <v>110</v>
      </c>
      <c r="G76" s="52" t="s">
        <v>15</v>
      </c>
      <c r="H76" s="52">
        <v>4</v>
      </c>
      <c r="I76" s="52" t="str">
        <f t="shared" ref="I76:I106" si="14">"4"&amp;IF(H76=4,3,"F")&amp;" "&amp;RIGHT($B$76,2)&amp;" "&amp;"30 "&amp;RIGHT(C76,2)&amp;" 00 00 00 00 "</f>
        <v xml:space="preserve">43 03 30 01 00 00 00 00 </v>
      </c>
      <c r="J76" s="49" t="str">
        <f t="shared" si="7"/>
        <v>Set value to 2.5</v>
      </c>
      <c r="K76" s="52" t="str">
        <f t="shared" ref="K76:K106" si="15">"2"&amp;IF(H76=4,3,"F")&amp;" "&amp;RIGHT($B$76,2)&amp;" "&amp;"30 "&amp;RIGHT(C76,2)&amp;IF(G76="float"," 00 00 20 40 "," 01 00 00 00")</f>
        <v xml:space="preserve">23 03 30 01 00 00 20 40 </v>
      </c>
      <c r="L76" s="35"/>
    </row>
    <row r="77" spans="1:12" ht="13.8" customHeight="1" x14ac:dyDescent="0.25">
      <c r="A77" s="54"/>
      <c r="B77" s="61"/>
      <c r="C77" s="49" t="str">
        <f t="shared" si="13"/>
        <v>0x02</v>
      </c>
      <c r="D77" s="49" t="s">
        <v>126</v>
      </c>
      <c r="E77" s="27" t="s">
        <v>38</v>
      </c>
      <c r="F77" s="49" t="s">
        <v>110</v>
      </c>
      <c r="G77" s="49" t="s">
        <v>15</v>
      </c>
      <c r="H77" s="49">
        <v>4</v>
      </c>
      <c r="I77" s="49" t="str">
        <f t="shared" si="14"/>
        <v xml:space="preserve">43 03 30 02 00 00 00 00 </v>
      </c>
      <c r="J77" s="49" t="str">
        <f t="shared" si="7"/>
        <v>Set value to 2.5</v>
      </c>
      <c r="K77" s="49" t="str">
        <f t="shared" si="15"/>
        <v xml:space="preserve">23 03 30 02 00 00 20 40 </v>
      </c>
      <c r="L77" s="28"/>
    </row>
    <row r="78" spans="1:12" x14ac:dyDescent="0.25">
      <c r="A78" s="54"/>
      <c r="B78" s="61"/>
      <c r="C78" s="49" t="str">
        <f t="shared" si="13"/>
        <v>0x03</v>
      </c>
      <c r="D78" s="49" t="s">
        <v>126</v>
      </c>
      <c r="E78" s="27" t="s">
        <v>55</v>
      </c>
      <c r="F78" s="49" t="s">
        <v>113</v>
      </c>
      <c r="G78" s="49" t="s">
        <v>15</v>
      </c>
      <c r="H78" s="49">
        <v>4</v>
      </c>
      <c r="I78" s="49" t="str">
        <f t="shared" si="14"/>
        <v xml:space="preserve">43 03 30 03 00 00 00 00 </v>
      </c>
      <c r="J78" s="49" t="str">
        <f t="shared" si="7"/>
        <v>Set value to 2.5</v>
      </c>
      <c r="K78" s="49" t="str">
        <f t="shared" si="15"/>
        <v xml:space="preserve">23 03 30 03 00 00 20 40 </v>
      </c>
      <c r="L78" s="28"/>
    </row>
    <row r="79" spans="1:12" x14ac:dyDescent="0.25">
      <c r="A79" s="54"/>
      <c r="B79" s="61"/>
      <c r="C79" s="49" t="str">
        <f t="shared" si="13"/>
        <v>0x04</v>
      </c>
      <c r="D79" s="49" t="s">
        <v>126</v>
      </c>
      <c r="E79" s="27" t="s">
        <v>56</v>
      </c>
      <c r="F79" s="49" t="s">
        <v>113</v>
      </c>
      <c r="G79" s="49" t="s">
        <v>15</v>
      </c>
      <c r="H79" s="49">
        <v>4</v>
      </c>
      <c r="I79" s="49" t="str">
        <f t="shared" si="14"/>
        <v xml:space="preserve">43 03 30 04 00 00 00 00 </v>
      </c>
      <c r="J79" s="49" t="str">
        <f t="shared" si="7"/>
        <v>Set value to 2.5</v>
      </c>
      <c r="K79" s="49" t="str">
        <f t="shared" si="15"/>
        <v xml:space="preserve">23 03 30 04 00 00 20 40 </v>
      </c>
      <c r="L79" s="28"/>
    </row>
    <row r="80" spans="1:12" x14ac:dyDescent="0.25">
      <c r="A80" s="54"/>
      <c r="B80" s="61"/>
      <c r="C80" s="49" t="str">
        <f t="shared" si="13"/>
        <v>0x05</v>
      </c>
      <c r="D80" s="49" t="s">
        <v>126</v>
      </c>
      <c r="E80" s="27" t="s">
        <v>19</v>
      </c>
      <c r="F80" s="49" t="s">
        <v>113</v>
      </c>
      <c r="G80" s="49" t="s">
        <v>16</v>
      </c>
      <c r="H80" s="49">
        <v>1</v>
      </c>
      <c r="I80" s="49" t="str">
        <f t="shared" si="14"/>
        <v xml:space="preserve">4F 03 30 05 00 00 00 00 </v>
      </c>
      <c r="J80" s="49" t="str">
        <f t="shared" si="7"/>
        <v>Set value to    1</v>
      </c>
      <c r="K80" s="49" t="str">
        <f t="shared" si="15"/>
        <v>2F 03 30 05 01 00 00 00</v>
      </c>
      <c r="L80" s="28" t="s">
        <v>122</v>
      </c>
    </row>
    <row r="81" spans="1:12" x14ac:dyDescent="0.25">
      <c r="A81" s="54"/>
      <c r="B81" s="61"/>
      <c r="C81" s="49" t="str">
        <f t="shared" si="13"/>
        <v>0x06</v>
      </c>
      <c r="D81" s="49" t="s">
        <v>126</v>
      </c>
      <c r="E81" s="27" t="s">
        <v>21</v>
      </c>
      <c r="F81" s="49" t="s">
        <v>111</v>
      </c>
      <c r="G81" s="49" t="s">
        <v>15</v>
      </c>
      <c r="H81" s="49">
        <v>4</v>
      </c>
      <c r="I81" s="49" t="str">
        <f t="shared" si="14"/>
        <v xml:space="preserve">43 03 30 06 00 00 00 00 </v>
      </c>
      <c r="J81" s="49" t="str">
        <f t="shared" si="7"/>
        <v>Set value to 2.5</v>
      </c>
      <c r="K81" s="49" t="str">
        <f t="shared" si="15"/>
        <v xml:space="preserve">23 03 30 06 00 00 20 40 </v>
      </c>
      <c r="L81" s="28"/>
    </row>
    <row r="82" spans="1:12" x14ac:dyDescent="0.25">
      <c r="A82" s="54"/>
      <c r="B82" s="61"/>
      <c r="C82" s="49" t="str">
        <f t="shared" si="13"/>
        <v>0x07</v>
      </c>
      <c r="D82" s="49" t="s">
        <v>126</v>
      </c>
      <c r="E82" s="27" t="s">
        <v>22</v>
      </c>
      <c r="F82" s="49" t="s">
        <v>111</v>
      </c>
      <c r="G82" s="49" t="s">
        <v>15</v>
      </c>
      <c r="H82" s="49">
        <v>4</v>
      </c>
      <c r="I82" s="49" t="str">
        <f t="shared" si="14"/>
        <v xml:space="preserve">43 03 30 07 00 00 00 00 </v>
      </c>
      <c r="J82" s="49" t="str">
        <f t="shared" si="7"/>
        <v>Set value to 2.5</v>
      </c>
      <c r="K82" s="49" t="str">
        <f t="shared" si="15"/>
        <v xml:space="preserve">23 03 30 07 00 00 20 40 </v>
      </c>
      <c r="L82" s="28"/>
    </row>
    <row r="83" spans="1:12" x14ac:dyDescent="0.25">
      <c r="A83" s="54"/>
      <c r="B83" s="61"/>
      <c r="C83" s="38" t="str">
        <f t="shared" si="13"/>
        <v>0x08</v>
      </c>
      <c r="D83" s="38" t="s">
        <v>126</v>
      </c>
      <c r="E83" s="39" t="s">
        <v>23</v>
      </c>
      <c r="F83" s="38" t="s">
        <v>113</v>
      </c>
      <c r="G83" s="38" t="s">
        <v>62</v>
      </c>
      <c r="H83" s="38">
        <v>4</v>
      </c>
      <c r="I83" s="38" t="str">
        <f t="shared" si="14"/>
        <v xml:space="preserve">43 03 30 08 00 00 00 00 </v>
      </c>
      <c r="J83" s="38" t="str">
        <f t="shared" si="7"/>
        <v>Set value to    1</v>
      </c>
      <c r="K83" s="38" t="str">
        <f t="shared" si="15"/>
        <v>23 03 30 08 01 00 00 00</v>
      </c>
      <c r="L83" s="28"/>
    </row>
    <row r="84" spans="1:12" x14ac:dyDescent="0.25">
      <c r="A84" s="54"/>
      <c r="B84" s="61"/>
      <c r="C84" s="38" t="str">
        <f t="shared" si="13"/>
        <v>0x09</v>
      </c>
      <c r="D84" s="38" t="s">
        <v>126</v>
      </c>
      <c r="E84" s="39" t="s">
        <v>24</v>
      </c>
      <c r="F84" s="38" t="s">
        <v>113</v>
      </c>
      <c r="G84" s="38" t="s">
        <v>15</v>
      </c>
      <c r="H84" s="38">
        <v>4</v>
      </c>
      <c r="I84" s="38" t="str">
        <f t="shared" si="14"/>
        <v xml:space="preserve">43 03 30 09 00 00 00 00 </v>
      </c>
      <c r="J84" s="38" t="str">
        <f t="shared" si="7"/>
        <v>Set value to 2.5</v>
      </c>
      <c r="K84" s="38" t="str">
        <f t="shared" si="15"/>
        <v xml:space="preserve">23 03 30 09 00 00 20 40 </v>
      </c>
      <c r="L84" s="28"/>
    </row>
    <row r="85" spans="1:12" x14ac:dyDescent="0.25">
      <c r="A85" s="54"/>
      <c r="B85" s="61"/>
      <c r="C85" s="49" t="str">
        <f t="shared" si="13"/>
        <v>0x0A</v>
      </c>
      <c r="D85" s="49" t="s">
        <v>126</v>
      </c>
      <c r="E85" s="27" t="s">
        <v>50</v>
      </c>
      <c r="F85" s="49" t="s">
        <v>110</v>
      </c>
      <c r="G85" s="49" t="s">
        <v>15</v>
      </c>
      <c r="H85" s="49">
        <v>4</v>
      </c>
      <c r="I85" s="49" t="str">
        <f t="shared" si="14"/>
        <v xml:space="preserve">43 03 30 0A 00 00 00 00 </v>
      </c>
      <c r="J85" s="49" t="str">
        <f t="shared" si="7"/>
        <v>Set value to 2.5</v>
      </c>
      <c r="K85" s="49" t="str">
        <f t="shared" si="15"/>
        <v xml:space="preserve">23 03 30 0A 00 00 20 40 </v>
      </c>
      <c r="L85" s="28"/>
    </row>
    <row r="86" spans="1:12" x14ac:dyDescent="0.25">
      <c r="A86" s="54"/>
      <c r="B86" s="61"/>
      <c r="C86" s="49" t="str">
        <f t="shared" si="13"/>
        <v>0x0B</v>
      </c>
      <c r="D86" s="49" t="s">
        <v>126</v>
      </c>
      <c r="E86" s="27" t="s">
        <v>47</v>
      </c>
      <c r="F86" s="49" t="s">
        <v>110</v>
      </c>
      <c r="G86" s="49" t="s">
        <v>15</v>
      </c>
      <c r="H86" s="49">
        <v>4</v>
      </c>
      <c r="I86" s="49" t="str">
        <f t="shared" si="14"/>
        <v xml:space="preserve">43 03 30 0B 00 00 00 00 </v>
      </c>
      <c r="J86" s="49" t="str">
        <f t="shared" si="7"/>
        <v>Set value to 2.5</v>
      </c>
      <c r="K86" s="49" t="str">
        <f t="shared" si="15"/>
        <v xml:space="preserve">23 03 30 0B 00 00 20 40 </v>
      </c>
      <c r="L86" s="28"/>
    </row>
    <row r="87" spans="1:12" x14ac:dyDescent="0.25">
      <c r="A87" s="54"/>
      <c r="B87" s="61"/>
      <c r="C87" s="49" t="str">
        <f t="shared" si="13"/>
        <v>0x0C</v>
      </c>
      <c r="D87" s="49" t="s">
        <v>126</v>
      </c>
      <c r="E87" s="27" t="s">
        <v>44</v>
      </c>
      <c r="F87" s="49" t="s">
        <v>114</v>
      </c>
      <c r="G87" s="49" t="s">
        <v>15</v>
      </c>
      <c r="H87" s="49">
        <v>4</v>
      </c>
      <c r="I87" s="49" t="str">
        <f t="shared" si="14"/>
        <v xml:space="preserve">43 03 30 0C 00 00 00 00 </v>
      </c>
      <c r="J87" s="49" t="str">
        <f t="shared" si="7"/>
        <v>Set value to 2.5</v>
      </c>
      <c r="K87" s="49" t="str">
        <f t="shared" si="15"/>
        <v xml:space="preserve">23 03 30 0C 00 00 20 40 </v>
      </c>
      <c r="L87" s="28"/>
    </row>
    <row r="88" spans="1:12" x14ac:dyDescent="0.25">
      <c r="A88" s="54"/>
      <c r="B88" s="61"/>
      <c r="C88" s="49" t="str">
        <f t="shared" si="13"/>
        <v>0x0D</v>
      </c>
      <c r="D88" s="49" t="s">
        <v>126</v>
      </c>
      <c r="E88" s="27" t="s">
        <v>48</v>
      </c>
      <c r="F88" s="49" t="s">
        <v>114</v>
      </c>
      <c r="G88" s="49" t="s">
        <v>15</v>
      </c>
      <c r="H88" s="49">
        <v>4</v>
      </c>
      <c r="I88" s="49" t="str">
        <f t="shared" si="14"/>
        <v xml:space="preserve">43 03 30 0D 00 00 00 00 </v>
      </c>
      <c r="J88" s="49" t="str">
        <f t="shared" si="7"/>
        <v>Set value to 2.5</v>
      </c>
      <c r="K88" s="49" t="str">
        <f t="shared" si="15"/>
        <v xml:space="preserve">23 03 30 0D 00 00 20 40 </v>
      </c>
      <c r="L88" s="28"/>
    </row>
    <row r="89" spans="1:12" x14ac:dyDescent="0.25">
      <c r="A89" s="54"/>
      <c r="B89" s="61"/>
      <c r="C89" s="49" t="str">
        <f t="shared" si="13"/>
        <v>0x0E</v>
      </c>
      <c r="D89" s="49" t="s">
        <v>126</v>
      </c>
      <c r="E89" s="27" t="s">
        <v>25</v>
      </c>
      <c r="F89" s="49" t="s">
        <v>110</v>
      </c>
      <c r="G89" s="49" t="s">
        <v>16</v>
      </c>
      <c r="H89" s="49">
        <v>1</v>
      </c>
      <c r="I89" s="49" t="str">
        <f t="shared" si="14"/>
        <v xml:space="preserve">4F 03 30 0E 00 00 00 00 </v>
      </c>
      <c r="J89" s="49" t="str">
        <f t="shared" si="7"/>
        <v>Set value to    1</v>
      </c>
      <c r="K89" s="49" t="str">
        <f t="shared" si="15"/>
        <v>2F 03 30 0E 01 00 00 00</v>
      </c>
      <c r="L89" s="28" t="s">
        <v>122</v>
      </c>
    </row>
    <row r="90" spans="1:12" x14ac:dyDescent="0.25">
      <c r="A90" s="54"/>
      <c r="B90" s="61"/>
      <c r="C90" s="49" t="str">
        <f t="shared" si="13"/>
        <v>0x0F</v>
      </c>
      <c r="D90" s="49" t="s">
        <v>126</v>
      </c>
      <c r="E90" s="27" t="s">
        <v>51</v>
      </c>
      <c r="F90" s="49" t="s">
        <v>110</v>
      </c>
      <c r="G90" s="49" t="s">
        <v>16</v>
      </c>
      <c r="H90" s="49">
        <v>1</v>
      </c>
      <c r="I90" s="49" t="str">
        <f t="shared" si="14"/>
        <v xml:space="preserve">4F 03 30 0F 00 00 00 00 </v>
      </c>
      <c r="J90" s="49" t="str">
        <f t="shared" si="7"/>
        <v>Set value to    1</v>
      </c>
      <c r="K90" s="49" t="str">
        <f t="shared" si="15"/>
        <v>2F 03 30 0F 01 00 00 00</v>
      </c>
      <c r="L90" s="28" t="s">
        <v>122</v>
      </c>
    </row>
    <row r="91" spans="1:12" x14ac:dyDescent="0.25">
      <c r="A91" s="54"/>
      <c r="B91" s="61"/>
      <c r="C91" s="49" t="str">
        <f t="shared" si="13"/>
        <v>0x10</v>
      </c>
      <c r="D91" s="49" t="s">
        <v>126</v>
      </c>
      <c r="E91" s="27" t="s">
        <v>26</v>
      </c>
      <c r="F91" s="49" t="s">
        <v>110</v>
      </c>
      <c r="G91" s="49" t="s">
        <v>16</v>
      </c>
      <c r="H91" s="49">
        <v>1</v>
      </c>
      <c r="I91" s="49" t="str">
        <f t="shared" si="14"/>
        <v xml:space="preserve">4F 03 30 10 00 00 00 00 </v>
      </c>
      <c r="J91" s="49" t="str">
        <f t="shared" si="7"/>
        <v>Set value to    1</v>
      </c>
      <c r="K91" s="49" t="str">
        <f t="shared" si="15"/>
        <v>2F 03 30 10 01 00 00 00</v>
      </c>
      <c r="L91" s="28" t="s">
        <v>122</v>
      </c>
    </row>
    <row r="92" spans="1:12" x14ac:dyDescent="0.25">
      <c r="A92" s="54"/>
      <c r="B92" s="61"/>
      <c r="C92" s="49" t="str">
        <f t="shared" si="13"/>
        <v>0x11</v>
      </c>
      <c r="D92" s="49" t="s">
        <v>126</v>
      </c>
      <c r="E92" s="27" t="s">
        <v>27</v>
      </c>
      <c r="F92" s="49" t="s">
        <v>114</v>
      </c>
      <c r="G92" s="49" t="s">
        <v>16</v>
      </c>
      <c r="H92" s="49">
        <v>1</v>
      </c>
      <c r="I92" s="49" t="str">
        <f t="shared" si="14"/>
        <v xml:space="preserve">4F 03 30 11 00 00 00 00 </v>
      </c>
      <c r="J92" s="49" t="str">
        <f t="shared" si="7"/>
        <v>Set value to    1</v>
      </c>
      <c r="K92" s="49" t="str">
        <f t="shared" si="15"/>
        <v>2F 03 30 11 01 00 00 00</v>
      </c>
      <c r="L92" s="28" t="s">
        <v>122</v>
      </c>
    </row>
    <row r="93" spans="1:12" x14ac:dyDescent="0.25">
      <c r="A93" s="54"/>
      <c r="B93" s="61"/>
      <c r="C93" s="49" t="str">
        <f t="shared" si="13"/>
        <v>0x12</v>
      </c>
      <c r="D93" s="49" t="s">
        <v>126</v>
      </c>
      <c r="E93" s="27" t="s">
        <v>28</v>
      </c>
      <c r="F93" s="49" t="s">
        <v>114</v>
      </c>
      <c r="G93" s="49" t="s">
        <v>15</v>
      </c>
      <c r="H93" s="49">
        <v>4</v>
      </c>
      <c r="I93" s="49" t="str">
        <f t="shared" si="14"/>
        <v xml:space="preserve">43 03 30 12 00 00 00 00 </v>
      </c>
      <c r="J93" s="49" t="str">
        <f t="shared" si="7"/>
        <v>Set value to 2.5</v>
      </c>
      <c r="K93" s="49" t="str">
        <f t="shared" si="15"/>
        <v xml:space="preserve">23 03 30 12 00 00 20 40 </v>
      </c>
      <c r="L93" s="28"/>
    </row>
    <row r="94" spans="1:12" x14ac:dyDescent="0.25">
      <c r="A94" s="54"/>
      <c r="B94" s="61"/>
      <c r="C94" s="49" t="str">
        <f t="shared" si="13"/>
        <v>0x13</v>
      </c>
      <c r="D94" s="49" t="s">
        <v>126</v>
      </c>
      <c r="E94" s="27" t="s">
        <v>30</v>
      </c>
      <c r="F94" s="49" t="s">
        <v>115</v>
      </c>
      <c r="G94" s="49" t="s">
        <v>15</v>
      </c>
      <c r="H94" s="49">
        <v>4</v>
      </c>
      <c r="I94" s="49" t="str">
        <f t="shared" si="14"/>
        <v xml:space="preserve">43 03 30 13 00 00 00 00 </v>
      </c>
      <c r="J94" s="49" t="str">
        <f t="shared" si="7"/>
        <v>Set value to 2.5</v>
      </c>
      <c r="K94" s="49" t="str">
        <f t="shared" si="15"/>
        <v xml:space="preserve">23 03 30 13 00 00 20 40 </v>
      </c>
      <c r="L94" s="28"/>
    </row>
    <row r="95" spans="1:12" x14ac:dyDescent="0.25">
      <c r="A95" s="54"/>
      <c r="B95" s="61"/>
      <c r="C95" s="49" t="str">
        <f t="shared" si="13"/>
        <v>0x14</v>
      </c>
      <c r="D95" s="49" t="s">
        <v>126</v>
      </c>
      <c r="E95" s="27" t="s">
        <v>31</v>
      </c>
      <c r="F95" s="49" t="s">
        <v>115</v>
      </c>
      <c r="G95" s="49" t="s">
        <v>62</v>
      </c>
      <c r="H95" s="49">
        <v>4</v>
      </c>
      <c r="I95" s="49" t="str">
        <f t="shared" si="14"/>
        <v xml:space="preserve">43 03 30 14 00 00 00 00 </v>
      </c>
      <c r="J95" s="49" t="str">
        <f t="shared" si="7"/>
        <v>Set value to    1</v>
      </c>
      <c r="K95" s="49" t="str">
        <f t="shared" si="15"/>
        <v>23 03 30 14 01 00 00 00</v>
      </c>
      <c r="L95" s="28" t="s">
        <v>121</v>
      </c>
    </row>
    <row r="96" spans="1:12" x14ac:dyDescent="0.25">
      <c r="A96" s="54"/>
      <c r="B96" s="61"/>
      <c r="C96" s="49" t="str">
        <f t="shared" si="13"/>
        <v>0x15</v>
      </c>
      <c r="D96" s="49" t="s">
        <v>126</v>
      </c>
      <c r="E96" s="27" t="s">
        <v>32</v>
      </c>
      <c r="F96" s="49" t="s">
        <v>115</v>
      </c>
      <c r="G96" s="49" t="s">
        <v>15</v>
      </c>
      <c r="H96" s="49">
        <v>4</v>
      </c>
      <c r="I96" s="49" t="str">
        <f t="shared" si="14"/>
        <v xml:space="preserve">43 03 30 15 00 00 00 00 </v>
      </c>
      <c r="J96" s="49" t="str">
        <f t="shared" si="7"/>
        <v>Set value to 2.5</v>
      </c>
      <c r="K96" s="49" t="str">
        <f t="shared" si="15"/>
        <v xml:space="preserve">23 03 30 15 00 00 20 40 </v>
      </c>
      <c r="L96" s="28"/>
    </row>
    <row r="97" spans="1:12" x14ac:dyDescent="0.25">
      <c r="A97" s="54"/>
      <c r="B97" s="61"/>
      <c r="C97" s="49" t="str">
        <f t="shared" si="13"/>
        <v>0x16</v>
      </c>
      <c r="D97" s="49" t="s">
        <v>126</v>
      </c>
      <c r="E97" s="27" t="s">
        <v>33</v>
      </c>
      <c r="F97" s="49" t="s">
        <v>115</v>
      </c>
      <c r="G97" s="49" t="s">
        <v>15</v>
      </c>
      <c r="H97" s="49">
        <v>4</v>
      </c>
      <c r="I97" s="49" t="str">
        <f t="shared" si="14"/>
        <v xml:space="preserve">43 03 30 16 00 00 00 00 </v>
      </c>
      <c r="J97" s="49" t="str">
        <f t="shared" si="7"/>
        <v>Set value to 2.5</v>
      </c>
      <c r="K97" s="49" t="str">
        <f t="shared" si="15"/>
        <v xml:space="preserve">23 03 30 16 00 00 20 40 </v>
      </c>
      <c r="L97" s="28"/>
    </row>
    <row r="98" spans="1:12" x14ac:dyDescent="0.25">
      <c r="A98" s="54"/>
      <c r="B98" s="61"/>
      <c r="C98" s="49" t="str">
        <f t="shared" si="13"/>
        <v>0x17</v>
      </c>
      <c r="D98" s="49" t="s">
        <v>126</v>
      </c>
      <c r="E98" s="27" t="s">
        <v>165</v>
      </c>
      <c r="F98" s="49" t="s">
        <v>114</v>
      </c>
      <c r="G98" s="49" t="s">
        <v>16</v>
      </c>
      <c r="H98" s="49">
        <v>1</v>
      </c>
      <c r="I98" s="49" t="str">
        <f t="shared" si="14"/>
        <v xml:space="preserve">4F 03 30 17 00 00 00 00 </v>
      </c>
      <c r="J98" s="49" t="str">
        <f t="shared" si="7"/>
        <v>Set value to    1</v>
      </c>
      <c r="K98" s="49" t="str">
        <f t="shared" si="15"/>
        <v>2F 03 30 17 01 00 00 00</v>
      </c>
      <c r="L98" s="28" t="s">
        <v>122</v>
      </c>
    </row>
    <row r="99" spans="1:12" x14ac:dyDescent="0.25">
      <c r="A99" s="54"/>
      <c r="B99" s="61"/>
      <c r="C99" s="49" t="str">
        <f t="shared" si="13"/>
        <v>0x18</v>
      </c>
      <c r="D99" s="49" t="s">
        <v>126</v>
      </c>
      <c r="E99" s="27" t="s">
        <v>166</v>
      </c>
      <c r="F99" s="49" t="s">
        <v>114</v>
      </c>
      <c r="G99" s="49" t="s">
        <v>15</v>
      </c>
      <c r="H99" s="49">
        <v>4</v>
      </c>
      <c r="I99" s="49" t="str">
        <f t="shared" si="14"/>
        <v xml:space="preserve">43 03 30 18 00 00 00 00 </v>
      </c>
      <c r="J99" s="49" t="str">
        <f t="shared" si="7"/>
        <v>Set value to 2.5</v>
      </c>
      <c r="K99" s="49" t="str">
        <f t="shared" si="15"/>
        <v xml:space="preserve">23 03 30 18 00 00 20 40 </v>
      </c>
      <c r="L99" s="28"/>
    </row>
    <row r="100" spans="1:12" x14ac:dyDescent="0.25">
      <c r="A100" s="54"/>
      <c r="B100" s="61"/>
      <c r="C100" s="49" t="str">
        <f t="shared" si="13"/>
        <v>0x19</v>
      </c>
      <c r="D100" s="49" t="s">
        <v>126</v>
      </c>
      <c r="E100" s="27" t="s">
        <v>167</v>
      </c>
      <c r="F100" s="49" t="s">
        <v>113</v>
      </c>
      <c r="G100" s="49" t="s">
        <v>15</v>
      </c>
      <c r="H100" s="49">
        <v>4</v>
      </c>
      <c r="I100" s="49" t="str">
        <f t="shared" si="14"/>
        <v xml:space="preserve">43 03 30 19 00 00 00 00 </v>
      </c>
      <c r="J100" s="49" t="str">
        <f t="shared" si="7"/>
        <v>Set value to 2.5</v>
      </c>
      <c r="K100" s="49" t="str">
        <f t="shared" si="15"/>
        <v xml:space="preserve">23 03 30 19 00 00 20 40 </v>
      </c>
      <c r="L100" s="28"/>
    </row>
    <row r="101" spans="1:12" x14ac:dyDescent="0.25">
      <c r="A101" s="54"/>
      <c r="B101" s="61"/>
      <c r="C101" s="49" t="str">
        <f t="shared" si="13"/>
        <v>0x1A</v>
      </c>
      <c r="D101" s="49" t="s">
        <v>126</v>
      </c>
      <c r="E101" s="27" t="s">
        <v>168</v>
      </c>
      <c r="F101" s="49" t="s">
        <v>114</v>
      </c>
      <c r="G101" s="49" t="s">
        <v>15</v>
      </c>
      <c r="H101" s="49">
        <v>4</v>
      </c>
      <c r="I101" s="49" t="str">
        <f t="shared" si="14"/>
        <v xml:space="preserve">43 03 30 1A 00 00 00 00 </v>
      </c>
      <c r="J101" s="49" t="str">
        <f t="shared" si="7"/>
        <v>Set value to 2.5</v>
      </c>
      <c r="K101" s="49" t="str">
        <f t="shared" si="15"/>
        <v xml:space="preserve">23 03 30 1A 00 00 20 40 </v>
      </c>
      <c r="L101" s="28"/>
    </row>
    <row r="102" spans="1:12" x14ac:dyDescent="0.25">
      <c r="A102" s="54"/>
      <c r="B102" s="61"/>
      <c r="C102" s="49" t="str">
        <f t="shared" si="13"/>
        <v>0x1B</v>
      </c>
      <c r="D102" s="49" t="s">
        <v>126</v>
      </c>
      <c r="E102" s="27" t="s">
        <v>169</v>
      </c>
      <c r="F102" s="49" t="s">
        <v>114</v>
      </c>
      <c r="G102" s="49" t="s">
        <v>16</v>
      </c>
      <c r="H102" s="49">
        <v>1</v>
      </c>
      <c r="I102" s="49" t="str">
        <f t="shared" si="14"/>
        <v xml:space="preserve">4F 03 30 1B 00 00 00 00 </v>
      </c>
      <c r="J102" s="49" t="str">
        <f t="shared" si="7"/>
        <v>Set value to    1</v>
      </c>
      <c r="K102" s="49" t="str">
        <f t="shared" si="15"/>
        <v>2F 03 30 1B 01 00 00 00</v>
      </c>
      <c r="L102" s="28" t="s">
        <v>122</v>
      </c>
    </row>
    <row r="103" spans="1:12" x14ac:dyDescent="0.25">
      <c r="A103" s="54"/>
      <c r="B103" s="61"/>
      <c r="C103" s="49" t="str">
        <f t="shared" si="13"/>
        <v>0x1C</v>
      </c>
      <c r="D103" s="49" t="s">
        <v>126</v>
      </c>
      <c r="E103" s="27" t="s">
        <v>170</v>
      </c>
      <c r="F103" s="49" t="s">
        <v>114</v>
      </c>
      <c r="G103" s="49" t="s">
        <v>15</v>
      </c>
      <c r="H103" s="49">
        <v>4</v>
      </c>
      <c r="I103" s="49" t="str">
        <f t="shared" si="14"/>
        <v xml:space="preserve">43 03 30 1C 00 00 00 00 </v>
      </c>
      <c r="J103" s="49" t="str">
        <f t="shared" si="7"/>
        <v>Set value to 2.5</v>
      </c>
      <c r="K103" s="49" t="str">
        <f t="shared" si="15"/>
        <v xml:space="preserve">23 03 30 1C 00 00 20 40 </v>
      </c>
      <c r="L103" s="28"/>
    </row>
    <row r="104" spans="1:12" x14ac:dyDescent="0.25">
      <c r="A104" s="54"/>
      <c r="B104" s="61"/>
      <c r="C104" s="49" t="str">
        <f t="shared" si="13"/>
        <v>0x1D</v>
      </c>
      <c r="D104" s="49" t="s">
        <v>126</v>
      </c>
      <c r="E104" s="27" t="s">
        <v>171</v>
      </c>
      <c r="F104" s="49" t="s">
        <v>113</v>
      </c>
      <c r="G104" s="49" t="s">
        <v>15</v>
      </c>
      <c r="H104" s="49">
        <v>4</v>
      </c>
      <c r="I104" s="49" t="str">
        <f t="shared" si="14"/>
        <v xml:space="preserve">43 03 30 1D 00 00 00 00 </v>
      </c>
      <c r="J104" s="49" t="str">
        <f t="shared" si="7"/>
        <v>Set value to 2.5</v>
      </c>
      <c r="K104" s="49" t="str">
        <f t="shared" si="15"/>
        <v xml:space="preserve">23 03 30 1D 00 00 20 40 </v>
      </c>
      <c r="L104" s="28"/>
    </row>
    <row r="105" spans="1:12" x14ac:dyDescent="0.25">
      <c r="A105" s="54"/>
      <c r="B105" s="61"/>
      <c r="C105" s="49" t="str">
        <f t="shared" si="13"/>
        <v>0x1E</v>
      </c>
      <c r="D105" s="49" t="s">
        <v>126</v>
      </c>
      <c r="E105" s="27" t="s">
        <v>172</v>
      </c>
      <c r="F105" s="49" t="s">
        <v>114</v>
      </c>
      <c r="G105" s="49" t="s">
        <v>15</v>
      </c>
      <c r="H105" s="49">
        <v>4</v>
      </c>
      <c r="I105" s="49" t="str">
        <f t="shared" si="14"/>
        <v xml:space="preserve">43 03 30 1E 00 00 00 00 </v>
      </c>
      <c r="J105" s="49" t="str">
        <f t="shared" si="7"/>
        <v>Set value to 2.5</v>
      </c>
      <c r="K105" s="49" t="str">
        <f t="shared" si="15"/>
        <v xml:space="preserve">23 03 30 1E 00 00 20 40 </v>
      </c>
      <c r="L105" s="28"/>
    </row>
    <row r="106" spans="1:12" x14ac:dyDescent="0.25">
      <c r="A106" s="55"/>
      <c r="B106" s="62"/>
      <c r="C106" s="51" t="str">
        <f t="shared" si="13"/>
        <v>0x1F</v>
      </c>
      <c r="D106" s="51" t="s">
        <v>126</v>
      </c>
      <c r="E106" s="27" t="s">
        <v>173</v>
      </c>
      <c r="F106" s="49" t="s">
        <v>114</v>
      </c>
      <c r="G106" s="49" t="s">
        <v>15</v>
      </c>
      <c r="H106" s="49">
        <v>4</v>
      </c>
      <c r="I106" s="49" t="str">
        <f t="shared" si="14"/>
        <v xml:space="preserve">43 03 30 1F 00 00 00 00 </v>
      </c>
      <c r="J106" s="51" t="str">
        <f t="shared" ref="J106" si="16">IF(G106="float","Set value to 2.5","Set value to    1")</f>
        <v>Set value to 2.5</v>
      </c>
      <c r="K106" s="49" t="str">
        <f t="shared" si="15"/>
        <v xml:space="preserve">23 03 30 1F 00 00 20 40 </v>
      </c>
      <c r="L106" s="28"/>
    </row>
    <row r="107" spans="1:12" ht="13.8" customHeight="1" x14ac:dyDescent="0.25">
      <c r="A107" s="53" t="s">
        <v>35</v>
      </c>
      <c r="B107" s="60" t="s">
        <v>129</v>
      </c>
      <c r="C107" s="52" t="str">
        <f t="shared" ref="C107:C122" si="17">"0x"&amp;DEC2HEX(ROW()-ROW($A$107)+1,2)</f>
        <v>0x01</v>
      </c>
      <c r="D107" s="52" t="s">
        <v>126</v>
      </c>
      <c r="E107" s="34" t="s">
        <v>36</v>
      </c>
      <c r="F107" s="52" t="s">
        <v>115</v>
      </c>
      <c r="G107" s="52" t="s">
        <v>15</v>
      </c>
      <c r="H107" s="52">
        <v>4</v>
      </c>
      <c r="I107" s="52" t="str">
        <f t="shared" ref="I107:I122" si="18">"4"&amp;IF(H107=4,3,"F")&amp;" "&amp;RIGHT($B$107,2)&amp;" "&amp;"30 "&amp;RIGHT(C107,2)&amp;" 00 00 00 00 "</f>
        <v xml:space="preserve">43 04 30 01 00 00 00 00 </v>
      </c>
      <c r="J107" s="49" t="str">
        <f t="shared" si="7"/>
        <v>Set value to 2.5</v>
      </c>
      <c r="K107" s="52" t="str">
        <f t="shared" ref="K107:K122" si="19">"2"&amp;IF(H107=4,3,"F")&amp;" "&amp;RIGHT($B$107,2)&amp;" "&amp;"30 "&amp;RIGHT(C107,2)&amp;IF(G107="float"," 00 00 20 40 "," 01 00 00 00")</f>
        <v xml:space="preserve">23 04 30 01 00 00 20 40 </v>
      </c>
      <c r="L107" s="35"/>
    </row>
    <row r="108" spans="1:12" x14ac:dyDescent="0.25">
      <c r="A108" s="54"/>
      <c r="B108" s="61"/>
      <c r="C108" s="49" t="str">
        <f t="shared" si="17"/>
        <v>0x02</v>
      </c>
      <c r="D108" s="49" t="s">
        <v>126</v>
      </c>
      <c r="E108" s="27" t="s">
        <v>37</v>
      </c>
      <c r="F108" s="49" t="s">
        <v>115</v>
      </c>
      <c r="G108" s="49" t="s">
        <v>15</v>
      </c>
      <c r="H108" s="49">
        <v>4</v>
      </c>
      <c r="I108" s="49" t="str">
        <f t="shared" si="18"/>
        <v xml:space="preserve">43 04 30 02 00 00 00 00 </v>
      </c>
      <c r="J108" s="49" t="str">
        <f t="shared" ref="J108:J159" si="20">IF(G108="float","Set value to 2.5","Set value to    1")</f>
        <v>Set value to 2.5</v>
      </c>
      <c r="K108" s="49" t="str">
        <f t="shared" si="19"/>
        <v xml:space="preserve">23 04 30 02 00 00 20 40 </v>
      </c>
      <c r="L108" s="28"/>
    </row>
    <row r="109" spans="1:12" x14ac:dyDescent="0.25">
      <c r="A109" s="54"/>
      <c r="B109" s="61"/>
      <c r="C109" s="49" t="str">
        <f t="shared" si="17"/>
        <v>0x03</v>
      </c>
      <c r="D109" s="49" t="s">
        <v>126</v>
      </c>
      <c r="E109" s="27" t="s">
        <v>57</v>
      </c>
      <c r="F109" s="49" t="s">
        <v>252</v>
      </c>
      <c r="G109" s="49" t="s">
        <v>15</v>
      </c>
      <c r="H109" s="49">
        <v>4</v>
      </c>
      <c r="I109" s="49" t="str">
        <f t="shared" si="18"/>
        <v xml:space="preserve">43 04 30 03 00 00 00 00 </v>
      </c>
      <c r="J109" s="49" t="str">
        <f t="shared" si="20"/>
        <v>Set value to 2.5</v>
      </c>
      <c r="K109" s="49" t="str">
        <f t="shared" si="19"/>
        <v xml:space="preserve">23 04 30 03 00 00 20 40 </v>
      </c>
      <c r="L109" s="28"/>
    </row>
    <row r="110" spans="1:12" x14ac:dyDescent="0.25">
      <c r="A110" s="54"/>
      <c r="B110" s="61"/>
      <c r="C110" s="49" t="str">
        <f t="shared" si="17"/>
        <v>0x04</v>
      </c>
      <c r="D110" s="49" t="s">
        <v>126</v>
      </c>
      <c r="E110" s="27" t="s">
        <v>58</v>
      </c>
      <c r="F110" s="49" t="s">
        <v>111</v>
      </c>
      <c r="G110" s="49" t="s">
        <v>15</v>
      </c>
      <c r="H110" s="49">
        <v>4</v>
      </c>
      <c r="I110" s="49" t="str">
        <f t="shared" si="18"/>
        <v xml:space="preserve">43 04 30 04 00 00 00 00 </v>
      </c>
      <c r="J110" s="49" t="str">
        <f t="shared" si="20"/>
        <v>Set value to 2.5</v>
      </c>
      <c r="K110" s="49" t="str">
        <f t="shared" si="19"/>
        <v xml:space="preserve">23 04 30 04 00 00 20 40 </v>
      </c>
      <c r="L110" s="28"/>
    </row>
    <row r="111" spans="1:12" x14ac:dyDescent="0.25">
      <c r="A111" s="54"/>
      <c r="B111" s="61"/>
      <c r="C111" s="49" t="str">
        <f t="shared" si="17"/>
        <v>0x05</v>
      </c>
      <c r="D111" s="49" t="s">
        <v>126</v>
      </c>
      <c r="E111" s="27" t="s">
        <v>39</v>
      </c>
      <c r="F111" s="49" t="s">
        <v>111</v>
      </c>
      <c r="G111" s="49" t="s">
        <v>16</v>
      </c>
      <c r="H111" s="49">
        <v>1</v>
      </c>
      <c r="I111" s="49" t="str">
        <f t="shared" si="18"/>
        <v xml:space="preserve">4F 04 30 05 00 00 00 00 </v>
      </c>
      <c r="J111" s="49" t="str">
        <f t="shared" si="20"/>
        <v>Set value to    1</v>
      </c>
      <c r="K111" s="49" t="str">
        <f t="shared" si="19"/>
        <v>2F 04 30 05 01 00 00 00</v>
      </c>
      <c r="L111" s="28" t="s">
        <v>122</v>
      </c>
    </row>
    <row r="112" spans="1:12" x14ac:dyDescent="0.25">
      <c r="A112" s="54"/>
      <c r="B112" s="61"/>
      <c r="C112" s="38" t="str">
        <f t="shared" si="17"/>
        <v>0x06</v>
      </c>
      <c r="D112" s="49" t="s">
        <v>126</v>
      </c>
      <c r="E112" s="39" t="s">
        <v>60</v>
      </c>
      <c r="F112" s="38" t="s">
        <v>113</v>
      </c>
      <c r="G112" s="38" t="s">
        <v>62</v>
      </c>
      <c r="H112" s="38">
        <v>4</v>
      </c>
      <c r="I112" s="38" t="str">
        <f t="shared" si="18"/>
        <v xml:space="preserve">43 04 30 06 00 00 00 00 </v>
      </c>
      <c r="J112" s="38" t="str">
        <f t="shared" si="20"/>
        <v>Set value to    1</v>
      </c>
      <c r="K112" s="38" t="str">
        <f t="shared" si="19"/>
        <v>23 04 30 06 01 00 00 00</v>
      </c>
      <c r="L112" s="28"/>
    </row>
    <row r="113" spans="1:12" x14ac:dyDescent="0.25">
      <c r="A113" s="54"/>
      <c r="B113" s="61"/>
      <c r="C113" s="38" t="str">
        <f t="shared" si="17"/>
        <v>0x07</v>
      </c>
      <c r="D113" s="49" t="s">
        <v>126</v>
      </c>
      <c r="E113" s="39" t="s">
        <v>61</v>
      </c>
      <c r="F113" s="38" t="s">
        <v>113</v>
      </c>
      <c r="G113" s="38" t="s">
        <v>15</v>
      </c>
      <c r="H113" s="38">
        <v>4</v>
      </c>
      <c r="I113" s="38" t="str">
        <f t="shared" si="18"/>
        <v xml:space="preserve">43 04 30 07 00 00 00 00 </v>
      </c>
      <c r="J113" s="38" t="str">
        <f t="shared" si="20"/>
        <v>Set value to 2.5</v>
      </c>
      <c r="K113" s="38" t="str">
        <f t="shared" si="19"/>
        <v xml:space="preserve">23 04 30 07 00 00 20 40 </v>
      </c>
      <c r="L113" s="28"/>
    </row>
    <row r="114" spans="1:12" x14ac:dyDescent="0.25">
      <c r="A114" s="54"/>
      <c r="B114" s="61"/>
      <c r="C114" s="49" t="str">
        <f t="shared" si="17"/>
        <v>0x08</v>
      </c>
      <c r="D114" s="49" t="s">
        <v>126</v>
      </c>
      <c r="E114" s="27" t="s">
        <v>45</v>
      </c>
      <c r="F114" s="49" t="s">
        <v>115</v>
      </c>
      <c r="G114" s="49" t="s">
        <v>15</v>
      </c>
      <c r="H114" s="49">
        <v>4</v>
      </c>
      <c r="I114" s="49" t="str">
        <f t="shared" si="18"/>
        <v xml:space="preserve">43 04 30 08 00 00 00 00 </v>
      </c>
      <c r="J114" s="49" t="str">
        <f t="shared" si="20"/>
        <v>Set value to 2.5</v>
      </c>
      <c r="K114" s="49" t="str">
        <f t="shared" si="19"/>
        <v xml:space="preserve">23 04 30 08 00 00 20 40 </v>
      </c>
      <c r="L114" s="28"/>
    </row>
    <row r="115" spans="1:12" x14ac:dyDescent="0.25">
      <c r="A115" s="54"/>
      <c r="B115" s="61"/>
      <c r="C115" s="49" t="str">
        <f t="shared" si="17"/>
        <v>0x09</v>
      </c>
      <c r="D115" s="49" t="s">
        <v>126</v>
      </c>
      <c r="E115" s="27" t="s">
        <v>49</v>
      </c>
      <c r="F115" s="49" t="s">
        <v>115</v>
      </c>
      <c r="G115" s="49" t="s">
        <v>15</v>
      </c>
      <c r="H115" s="49">
        <v>4</v>
      </c>
      <c r="I115" s="49" t="str">
        <f t="shared" si="18"/>
        <v xml:space="preserve">43 04 30 09 00 00 00 00 </v>
      </c>
      <c r="J115" s="49" t="str">
        <f t="shared" si="20"/>
        <v>Set value to 2.5</v>
      </c>
      <c r="K115" s="49" t="str">
        <f t="shared" si="19"/>
        <v xml:space="preserve">23 04 30 09 00 00 20 40 </v>
      </c>
      <c r="L115" s="28"/>
    </row>
    <row r="116" spans="1:12" x14ac:dyDescent="0.25">
      <c r="A116" s="54"/>
      <c r="B116" s="61"/>
      <c r="C116" s="49" t="str">
        <f t="shared" si="17"/>
        <v>0x0A</v>
      </c>
      <c r="D116" s="49" t="s">
        <v>126</v>
      </c>
      <c r="E116" s="27" t="s">
        <v>40</v>
      </c>
      <c r="F116" s="49" t="s">
        <v>115</v>
      </c>
      <c r="G116" s="49" t="s">
        <v>16</v>
      </c>
      <c r="H116" s="49">
        <v>1</v>
      </c>
      <c r="I116" s="49" t="str">
        <f t="shared" si="18"/>
        <v xml:space="preserve">4F 04 30 0A 00 00 00 00 </v>
      </c>
      <c r="J116" s="49" t="str">
        <f t="shared" si="20"/>
        <v>Set value to    1</v>
      </c>
      <c r="K116" s="49" t="str">
        <f t="shared" si="19"/>
        <v>2F 04 30 0A 01 00 00 00</v>
      </c>
      <c r="L116" s="28" t="s">
        <v>122</v>
      </c>
    </row>
    <row r="117" spans="1:12" x14ac:dyDescent="0.25">
      <c r="A117" s="54"/>
      <c r="B117" s="61"/>
      <c r="C117" s="49" t="str">
        <f t="shared" si="17"/>
        <v>0x0B</v>
      </c>
      <c r="D117" s="49" t="s">
        <v>126</v>
      </c>
      <c r="E117" s="27" t="s">
        <v>59</v>
      </c>
      <c r="F117" s="49" t="s">
        <v>115</v>
      </c>
      <c r="G117" s="49" t="s">
        <v>16</v>
      </c>
      <c r="H117" s="49">
        <v>1</v>
      </c>
      <c r="I117" s="49" t="str">
        <f t="shared" si="18"/>
        <v xml:space="preserve">4F 04 30 0B 00 00 00 00 </v>
      </c>
      <c r="J117" s="49" t="str">
        <f t="shared" si="20"/>
        <v>Set value to    1</v>
      </c>
      <c r="K117" s="49" t="str">
        <f t="shared" si="19"/>
        <v>2F 04 30 0B 01 00 00 00</v>
      </c>
      <c r="L117" s="28" t="s">
        <v>122</v>
      </c>
    </row>
    <row r="118" spans="1:12" x14ac:dyDescent="0.25">
      <c r="A118" s="54"/>
      <c r="B118" s="61"/>
      <c r="C118" s="49" t="str">
        <f t="shared" si="17"/>
        <v>0x0C</v>
      </c>
      <c r="D118" s="49" t="s">
        <v>126</v>
      </c>
      <c r="E118" s="27" t="s">
        <v>41</v>
      </c>
      <c r="F118" s="49" t="s">
        <v>115</v>
      </c>
      <c r="G118" s="49" t="s">
        <v>16</v>
      </c>
      <c r="H118" s="49">
        <v>1</v>
      </c>
      <c r="I118" s="49" t="str">
        <f t="shared" si="18"/>
        <v xml:space="preserve">4F 04 30 0C 00 00 00 00 </v>
      </c>
      <c r="J118" s="49" t="str">
        <f t="shared" si="20"/>
        <v>Set value to    1</v>
      </c>
      <c r="K118" s="49" t="str">
        <f t="shared" si="19"/>
        <v>2F 04 30 0C 01 00 00 00</v>
      </c>
      <c r="L118" s="28" t="s">
        <v>122</v>
      </c>
    </row>
    <row r="119" spans="1:12" x14ac:dyDescent="0.25">
      <c r="A119" s="54"/>
      <c r="B119" s="61"/>
      <c r="C119" s="49" t="str">
        <f t="shared" si="17"/>
        <v>0x0D</v>
      </c>
      <c r="D119" s="49" t="s">
        <v>126</v>
      </c>
      <c r="E119" s="27" t="s">
        <v>174</v>
      </c>
      <c r="F119" s="49" t="s">
        <v>253</v>
      </c>
      <c r="G119" s="49" t="s">
        <v>16</v>
      </c>
      <c r="H119" s="49">
        <v>1</v>
      </c>
      <c r="I119" s="49" t="str">
        <f t="shared" si="18"/>
        <v xml:space="preserve">4F 04 30 0D 00 00 00 00 </v>
      </c>
      <c r="J119" s="49" t="str">
        <f t="shared" si="20"/>
        <v>Set value to    1</v>
      </c>
      <c r="K119" s="49" t="str">
        <f t="shared" si="19"/>
        <v>2F 04 30 0D 01 00 00 00</v>
      </c>
      <c r="L119" s="28" t="s">
        <v>122</v>
      </c>
    </row>
    <row r="120" spans="1:12" x14ac:dyDescent="0.25">
      <c r="A120" s="54"/>
      <c r="B120" s="61"/>
      <c r="C120" s="49" t="str">
        <f t="shared" si="17"/>
        <v>0x0E</v>
      </c>
      <c r="D120" s="49" t="s">
        <v>126</v>
      </c>
      <c r="E120" s="27" t="s">
        <v>175</v>
      </c>
      <c r="F120" s="49" t="s">
        <v>253</v>
      </c>
      <c r="G120" s="49" t="s">
        <v>15</v>
      </c>
      <c r="H120" s="49">
        <v>4</v>
      </c>
      <c r="I120" s="49" t="str">
        <f t="shared" si="18"/>
        <v xml:space="preserve">43 04 30 0E 00 00 00 00 </v>
      </c>
      <c r="J120" s="49" t="str">
        <f t="shared" si="20"/>
        <v>Set value to 2.5</v>
      </c>
      <c r="K120" s="49" t="str">
        <f t="shared" si="19"/>
        <v xml:space="preserve">23 04 30 0E 00 00 20 40 </v>
      </c>
      <c r="L120" s="28"/>
    </row>
    <row r="121" spans="1:12" x14ac:dyDescent="0.25">
      <c r="A121" s="54"/>
      <c r="B121" s="61"/>
      <c r="C121" s="49" t="str">
        <f t="shared" si="17"/>
        <v>0x0F</v>
      </c>
      <c r="D121" s="49" t="s">
        <v>126</v>
      </c>
      <c r="E121" s="27" t="s">
        <v>176</v>
      </c>
      <c r="F121" s="49" t="s">
        <v>111</v>
      </c>
      <c r="G121" s="49" t="s">
        <v>15</v>
      </c>
      <c r="H121" s="49">
        <v>4</v>
      </c>
      <c r="I121" s="49" t="str">
        <f t="shared" si="18"/>
        <v xml:space="preserve">43 04 30 0F 00 00 00 00 </v>
      </c>
      <c r="J121" s="49" t="str">
        <f t="shared" si="20"/>
        <v>Set value to 2.5</v>
      </c>
      <c r="K121" s="49" t="str">
        <f t="shared" si="19"/>
        <v xml:space="preserve">23 04 30 0F 00 00 20 40 </v>
      </c>
      <c r="L121" s="28"/>
    </row>
    <row r="122" spans="1:12" x14ac:dyDescent="0.25">
      <c r="A122" s="55"/>
      <c r="B122" s="62"/>
      <c r="C122" s="51" t="str">
        <f t="shared" si="17"/>
        <v>0x10</v>
      </c>
      <c r="D122" s="49" t="s">
        <v>126</v>
      </c>
      <c r="E122" s="27" t="s">
        <v>177</v>
      </c>
      <c r="F122" s="49" t="s">
        <v>253</v>
      </c>
      <c r="G122" s="49" t="s">
        <v>15</v>
      </c>
      <c r="H122" s="49">
        <v>4</v>
      </c>
      <c r="I122" s="49" t="str">
        <f t="shared" si="18"/>
        <v xml:space="preserve">43 04 30 10 00 00 00 00 </v>
      </c>
      <c r="J122" s="51" t="str">
        <f t="shared" si="20"/>
        <v>Set value to 2.5</v>
      </c>
      <c r="K122" s="49" t="str">
        <f t="shared" si="19"/>
        <v xml:space="preserve">23 04 30 10 00 00 20 40 </v>
      </c>
      <c r="L122" s="28"/>
    </row>
    <row r="123" spans="1:12" ht="16.95" customHeight="1" x14ac:dyDescent="0.25">
      <c r="A123" s="53" t="s">
        <v>63</v>
      </c>
      <c r="B123" s="60" t="s">
        <v>130</v>
      </c>
      <c r="C123" s="49" t="str">
        <f t="shared" ref="C123:C131" si="21">"0x"&amp;DEC2HEX(ROW()-ROW($A$123)+1,2)</f>
        <v>0x01</v>
      </c>
      <c r="D123" s="52" t="s">
        <v>126</v>
      </c>
      <c r="E123" s="34" t="s">
        <v>64</v>
      </c>
      <c r="F123" s="52" t="s">
        <v>115</v>
      </c>
      <c r="G123" s="52" t="s">
        <v>15</v>
      </c>
      <c r="H123" s="52">
        <v>4</v>
      </c>
      <c r="I123" s="52" t="str">
        <f t="shared" ref="I123:I131" si="22">"4"&amp;IF(H123=4,3,"F")&amp;" "&amp;RIGHT($B$123,2)&amp;" "&amp;"30 "&amp;RIGHT(C123,2)&amp;" 00 00 00 00 "</f>
        <v xml:space="preserve">43 05 30 01 00 00 00 00 </v>
      </c>
      <c r="J123" s="49" t="str">
        <f t="shared" si="20"/>
        <v>Set value to 2.5</v>
      </c>
      <c r="K123" s="52" t="str">
        <f t="shared" ref="K123:K131" si="23">"2"&amp;IF(H123=4,3,"F")&amp;" "&amp;RIGHT($B$123,2)&amp;" "&amp;"30 "&amp;RIGHT(C123,2)&amp;IF(G123="float"," 00 00 20 40 "," 01 00 00 00")</f>
        <v xml:space="preserve">23 05 30 01 00 00 20 40 </v>
      </c>
      <c r="L123" s="35"/>
    </row>
    <row r="124" spans="1:12" ht="16.95" customHeight="1" x14ac:dyDescent="0.25">
      <c r="A124" s="54"/>
      <c r="B124" s="61"/>
      <c r="C124" s="49" t="str">
        <f t="shared" si="21"/>
        <v>0x02</v>
      </c>
      <c r="D124" s="49" t="s">
        <v>126</v>
      </c>
      <c r="E124" s="27" t="s">
        <v>65</v>
      </c>
      <c r="F124" s="49" t="s">
        <v>115</v>
      </c>
      <c r="G124" s="49" t="s">
        <v>15</v>
      </c>
      <c r="H124" s="49">
        <v>4</v>
      </c>
      <c r="I124" s="49" t="str">
        <f t="shared" si="22"/>
        <v xml:space="preserve">43 05 30 02 00 00 00 00 </v>
      </c>
      <c r="J124" s="49" t="str">
        <f t="shared" si="20"/>
        <v>Set value to 2.5</v>
      </c>
      <c r="K124" s="49" t="str">
        <f t="shared" si="23"/>
        <v xml:space="preserve">23 05 30 02 00 00 20 40 </v>
      </c>
      <c r="L124" s="28"/>
    </row>
    <row r="125" spans="1:12" ht="16.95" customHeight="1" x14ac:dyDescent="0.25">
      <c r="A125" s="54"/>
      <c r="B125" s="61"/>
      <c r="C125" s="49" t="str">
        <f t="shared" si="21"/>
        <v>0x03</v>
      </c>
      <c r="D125" s="49" t="s">
        <v>126</v>
      </c>
      <c r="E125" s="27" t="s">
        <v>66</v>
      </c>
      <c r="F125" s="49" t="s">
        <v>115</v>
      </c>
      <c r="G125" s="49" t="s">
        <v>15</v>
      </c>
      <c r="H125" s="49">
        <v>4</v>
      </c>
      <c r="I125" s="49" t="str">
        <f t="shared" si="22"/>
        <v xml:space="preserve">43 05 30 03 00 00 00 00 </v>
      </c>
      <c r="J125" s="49" t="str">
        <f t="shared" si="20"/>
        <v>Set value to 2.5</v>
      </c>
      <c r="K125" s="49" t="str">
        <f t="shared" si="23"/>
        <v xml:space="preserve">23 05 30 03 00 00 20 40 </v>
      </c>
      <c r="L125" s="28"/>
    </row>
    <row r="126" spans="1:12" ht="16.95" customHeight="1" x14ac:dyDescent="0.25">
      <c r="A126" s="54"/>
      <c r="B126" s="61"/>
      <c r="C126" s="49" t="str">
        <f t="shared" si="21"/>
        <v>0x04</v>
      </c>
      <c r="D126" s="49" t="s">
        <v>126</v>
      </c>
      <c r="E126" s="27" t="s">
        <v>67</v>
      </c>
      <c r="F126" s="49" t="s">
        <v>115</v>
      </c>
      <c r="G126" s="49" t="s">
        <v>15</v>
      </c>
      <c r="H126" s="49">
        <v>4</v>
      </c>
      <c r="I126" s="49" t="str">
        <f t="shared" si="22"/>
        <v xml:space="preserve">43 05 30 04 00 00 00 00 </v>
      </c>
      <c r="J126" s="49" t="str">
        <f t="shared" si="20"/>
        <v>Set value to 2.5</v>
      </c>
      <c r="K126" s="49" t="str">
        <f t="shared" si="23"/>
        <v xml:space="preserve">23 05 30 04 00 00 20 40 </v>
      </c>
      <c r="L126" s="28"/>
    </row>
    <row r="127" spans="1:12" ht="16.95" customHeight="1" x14ac:dyDescent="0.25">
      <c r="A127" s="54"/>
      <c r="B127" s="61"/>
      <c r="C127" s="49" t="str">
        <f t="shared" si="21"/>
        <v>0x05</v>
      </c>
      <c r="D127" s="49" t="s">
        <v>126</v>
      </c>
      <c r="E127" s="27" t="s">
        <v>272</v>
      </c>
      <c r="F127" s="49" t="s">
        <v>115</v>
      </c>
      <c r="G127" s="49" t="s">
        <v>16</v>
      </c>
      <c r="H127" s="49">
        <v>1</v>
      </c>
      <c r="I127" s="49" t="str">
        <f t="shared" si="22"/>
        <v xml:space="preserve">4F 05 30 05 00 00 00 00 </v>
      </c>
      <c r="J127" s="49" t="str">
        <f t="shared" si="20"/>
        <v>Set value to    1</v>
      </c>
      <c r="K127" s="49" t="str">
        <f t="shared" si="23"/>
        <v>2F 05 30 05 01 00 00 00</v>
      </c>
      <c r="L127" s="28" t="s">
        <v>122</v>
      </c>
    </row>
    <row r="128" spans="1:12" ht="16.95" customHeight="1" x14ac:dyDescent="0.25">
      <c r="A128" s="54"/>
      <c r="B128" s="61"/>
      <c r="C128" s="49" t="str">
        <f t="shared" si="21"/>
        <v>0x06</v>
      </c>
      <c r="D128" s="49" t="s">
        <v>126</v>
      </c>
      <c r="E128" s="27" t="s">
        <v>68</v>
      </c>
      <c r="F128" s="49" t="s">
        <v>115</v>
      </c>
      <c r="G128" s="49" t="s">
        <v>16</v>
      </c>
      <c r="H128" s="49">
        <v>1</v>
      </c>
      <c r="I128" s="49" t="str">
        <f t="shared" si="22"/>
        <v xml:space="preserve">4F 05 30 06 00 00 00 00 </v>
      </c>
      <c r="J128" s="49" t="str">
        <f t="shared" si="20"/>
        <v>Set value to    1</v>
      </c>
      <c r="K128" s="49" t="str">
        <f t="shared" si="23"/>
        <v>2F 05 30 06 01 00 00 00</v>
      </c>
      <c r="L128" s="28" t="s">
        <v>122</v>
      </c>
    </row>
    <row r="129" spans="1:12" ht="16.95" customHeight="1" x14ac:dyDescent="0.25">
      <c r="A129" s="54"/>
      <c r="B129" s="61"/>
      <c r="C129" s="49" t="str">
        <f t="shared" si="21"/>
        <v>0x07</v>
      </c>
      <c r="D129" s="49" t="s">
        <v>126</v>
      </c>
      <c r="E129" s="27" t="s">
        <v>69</v>
      </c>
      <c r="F129" s="49" t="s">
        <v>115</v>
      </c>
      <c r="G129" s="49" t="s">
        <v>16</v>
      </c>
      <c r="H129" s="49">
        <v>1</v>
      </c>
      <c r="I129" s="49" t="str">
        <f t="shared" si="22"/>
        <v xml:space="preserve">4F 05 30 07 00 00 00 00 </v>
      </c>
      <c r="J129" s="49" t="str">
        <f t="shared" si="20"/>
        <v>Set value to    1</v>
      </c>
      <c r="K129" s="49" t="str">
        <f t="shared" si="23"/>
        <v>2F 05 30 07 01 00 00 00</v>
      </c>
      <c r="L129" s="28" t="s">
        <v>122</v>
      </c>
    </row>
    <row r="130" spans="1:12" ht="16.95" customHeight="1" x14ac:dyDescent="0.25">
      <c r="A130" s="54"/>
      <c r="B130" s="61"/>
      <c r="C130" s="38" t="str">
        <f t="shared" si="21"/>
        <v>0x08</v>
      </c>
      <c r="D130" s="49" t="s">
        <v>126</v>
      </c>
      <c r="E130" s="39" t="s">
        <v>70</v>
      </c>
      <c r="F130" s="38" t="s">
        <v>113</v>
      </c>
      <c r="G130" s="38" t="s">
        <v>62</v>
      </c>
      <c r="H130" s="38">
        <v>4</v>
      </c>
      <c r="I130" s="38" t="str">
        <f t="shared" si="22"/>
        <v xml:space="preserve">43 05 30 08 00 00 00 00 </v>
      </c>
      <c r="J130" s="38" t="str">
        <f t="shared" si="20"/>
        <v>Set value to    1</v>
      </c>
      <c r="K130" s="38" t="str">
        <f t="shared" si="23"/>
        <v>23 05 30 08 01 00 00 00</v>
      </c>
      <c r="L130" s="28"/>
    </row>
    <row r="131" spans="1:12" ht="16.95" customHeight="1" x14ac:dyDescent="0.25">
      <c r="A131" s="55"/>
      <c r="B131" s="62"/>
      <c r="C131" s="40" t="str">
        <f t="shared" si="21"/>
        <v>0x09</v>
      </c>
      <c r="D131" s="40" t="s">
        <v>126</v>
      </c>
      <c r="E131" s="41" t="s">
        <v>71</v>
      </c>
      <c r="F131" s="40" t="s">
        <v>113</v>
      </c>
      <c r="G131" s="40" t="s">
        <v>15</v>
      </c>
      <c r="H131" s="40">
        <v>4</v>
      </c>
      <c r="I131" s="40" t="str">
        <f t="shared" si="22"/>
        <v xml:space="preserve">43 05 30 09 00 00 00 00 </v>
      </c>
      <c r="J131" s="40" t="str">
        <f t="shared" si="20"/>
        <v>Set value to 2.5</v>
      </c>
      <c r="K131" s="40" t="str">
        <f t="shared" si="23"/>
        <v xml:space="preserve">23 05 30 09 00 00 20 40 </v>
      </c>
      <c r="L131" s="37"/>
    </row>
    <row r="132" spans="1:12" ht="133.80000000000001" customHeight="1" x14ac:dyDescent="0.25">
      <c r="A132" s="53" t="s">
        <v>72</v>
      </c>
      <c r="B132" s="60" t="s">
        <v>131</v>
      </c>
      <c r="C132" s="52" t="s">
        <v>2</v>
      </c>
      <c r="D132" s="49" t="s">
        <v>126</v>
      </c>
      <c r="E132" s="34" t="s">
        <v>5</v>
      </c>
      <c r="F132" s="49" t="s">
        <v>110</v>
      </c>
      <c r="G132" s="49" t="s">
        <v>62</v>
      </c>
      <c r="H132" s="49">
        <v>4</v>
      </c>
      <c r="I132" s="49" t="str">
        <f>"4"&amp;IF(H132=4,3,"F")&amp;" "&amp;RIGHT($B$132,2)&amp;" "&amp;"30 "&amp;RIGHT(C132,2)&amp;" 00 00 00 00 "</f>
        <v xml:space="preserve">43 06 30 01 00 00 00 00 </v>
      </c>
      <c r="J132" s="49" t="str">
        <f t="shared" si="20"/>
        <v>Set value to    1</v>
      </c>
      <c r="K132" s="52" t="str">
        <f>"2"&amp;IF(H132=4,3,"F")&amp;" "&amp;RIGHT($B$132,2)&amp;" "&amp;"30 "&amp;RIGHT(C132,2)&amp;IF(G132="float"," 00 00 20 40 "," 01 00 00 00")</f>
        <v>23 06 30 01 01 00 00 00</v>
      </c>
      <c r="L132" s="42" t="s">
        <v>313</v>
      </c>
    </row>
    <row r="133" spans="1:12" ht="78" customHeight="1" x14ac:dyDescent="0.25">
      <c r="A133" s="55"/>
      <c r="B133" s="62"/>
      <c r="C133" s="49" t="s">
        <v>96</v>
      </c>
      <c r="D133" s="49" t="s">
        <v>126</v>
      </c>
      <c r="E133" s="27" t="s">
        <v>243</v>
      </c>
      <c r="F133" s="51" t="s">
        <v>113</v>
      </c>
      <c r="G133" s="51" t="s">
        <v>62</v>
      </c>
      <c r="H133" s="51">
        <v>4</v>
      </c>
      <c r="I133" s="51" t="str">
        <f>"4"&amp;IF(H133=4,3,"F")&amp;" "&amp;RIGHT($B$132,2)&amp;" "&amp;"30 "&amp;RIGHT(C133,2)&amp;" 00 00 00 00 "</f>
        <v xml:space="preserve">43 06 30 02 00 00 00 00 </v>
      </c>
      <c r="J133" s="51" t="str">
        <f t="shared" si="20"/>
        <v>Set value to    1</v>
      </c>
      <c r="K133" s="51" t="str">
        <f>"2"&amp;IF(H133=4,3,"F")&amp;" "&amp;RIGHT($B$132,2)&amp;" "&amp;"30 "&amp;RIGHT(C133,2)&amp;IF(G133="float"," 00 00 20 40 "," 01 00 00 00")</f>
        <v>23 06 30 02 01 00 00 00</v>
      </c>
      <c r="L133" s="30" t="s">
        <v>242</v>
      </c>
    </row>
    <row r="134" spans="1:12" ht="49.95" customHeight="1" x14ac:dyDescent="0.25">
      <c r="A134" s="53" t="s">
        <v>73</v>
      </c>
      <c r="B134" s="60" t="s">
        <v>132</v>
      </c>
      <c r="C134" s="52" t="str">
        <f>"0x"&amp;DEC2HEX(ROW()-ROW($A$134)+1,2)</f>
        <v>0x01</v>
      </c>
      <c r="D134" s="52" t="s">
        <v>126</v>
      </c>
      <c r="E134" s="34" t="s">
        <v>74</v>
      </c>
      <c r="F134" s="52" t="s">
        <v>110</v>
      </c>
      <c r="G134" s="52" t="s">
        <v>62</v>
      </c>
      <c r="H134" s="52">
        <v>4</v>
      </c>
      <c r="I134" s="52" t="str">
        <f>"4"&amp;IF(H134=4,3,"F")&amp;" "&amp;RIGHT($B$134,2)&amp;" "&amp;"30 "&amp;RIGHT(C134,2)&amp;" 00 00 00 00 "</f>
        <v xml:space="preserve">43 07 30 01 00 00 00 00 </v>
      </c>
      <c r="J134" s="49" t="str">
        <f t="shared" si="20"/>
        <v>Set value to    1</v>
      </c>
      <c r="K134" s="49" t="str">
        <f>"2"&amp;IF(H134=4,3,"F")&amp;" "&amp;RIGHT($B$134,2)&amp;" "&amp;"30 "&amp;RIGHT(C134,2)&amp;IF(G134="float"," 00 00 20 40 "," 01 00 00 00")</f>
        <v>23 07 30 01 01 00 00 00</v>
      </c>
      <c r="L134" s="35"/>
    </row>
    <row r="135" spans="1:12" ht="49.95" customHeight="1" x14ac:dyDescent="0.25">
      <c r="A135" s="54"/>
      <c r="B135" s="61"/>
      <c r="C135" s="49" t="str">
        <f>"0x"&amp;DEC2HEX(ROW()-ROW($A$134)+1,2)</f>
        <v>0x02</v>
      </c>
      <c r="D135" s="49" t="s">
        <v>126</v>
      </c>
      <c r="E135" s="27" t="s">
        <v>75</v>
      </c>
      <c r="F135" s="49" t="s">
        <v>110</v>
      </c>
      <c r="G135" s="49" t="s">
        <v>62</v>
      </c>
      <c r="H135" s="49">
        <v>4</v>
      </c>
      <c r="I135" s="49" t="str">
        <f>"4"&amp;IF(H135=4,3,"F")&amp;" "&amp;RIGHT($B$134,2)&amp;" "&amp;"30 "&amp;RIGHT(C135,2)&amp;" 00 00 00 00 "</f>
        <v xml:space="preserve">43 07 30 02 00 00 00 00 </v>
      </c>
      <c r="J135" s="49" t="str">
        <f t="shared" si="20"/>
        <v>Set value to    1</v>
      </c>
      <c r="K135" s="49" t="str">
        <f>"2"&amp;IF(H135=4,3,"F")&amp;" "&amp;RIGHT($B$134,2)&amp;" "&amp;"30 "&amp;RIGHT(C135,2)&amp;IF(G135="float"," 00 00 20 40 "," 01 00 00 00")</f>
        <v>23 07 30 02 01 00 00 00</v>
      </c>
      <c r="L135" s="28"/>
    </row>
    <row r="136" spans="1:12" ht="49.95" customHeight="1" x14ac:dyDescent="0.25">
      <c r="A136" s="55"/>
      <c r="B136" s="62"/>
      <c r="C136" s="51" t="str">
        <f>"0x"&amp;DEC2HEX(ROW()-ROW($A$134)+1,2)</f>
        <v>0x03</v>
      </c>
      <c r="D136" s="51" t="s">
        <v>126</v>
      </c>
      <c r="E136" s="36" t="s">
        <v>275</v>
      </c>
      <c r="F136" s="51" t="s">
        <v>110</v>
      </c>
      <c r="G136" s="51" t="s">
        <v>62</v>
      </c>
      <c r="H136" s="51">
        <v>4</v>
      </c>
      <c r="I136" s="51" t="str">
        <f>"4"&amp;IF(H136=4,3,"F")&amp;" "&amp;RIGHT($B$134,2)&amp;" "&amp;"30 "&amp;RIGHT(C136,2)&amp;" 00 00 00 00 "</f>
        <v xml:space="preserve">43 07 30 03 00 00 00 00 </v>
      </c>
      <c r="J136" s="51" t="str">
        <f t="shared" si="20"/>
        <v>Set value to    1</v>
      </c>
      <c r="K136" s="51" t="str">
        <f>"2"&amp;IF(H136=4,3,"F")&amp;" "&amp;RIGHT($B$134,2)&amp;" "&amp;"30 "&amp;RIGHT(C136,2)&amp;IF(G136="float"," 00 00 20 40 "," 01 00 00 00")</f>
        <v>23 07 30 03 01 00 00 00</v>
      </c>
      <c r="L136" s="37"/>
    </row>
    <row r="137" spans="1:12" ht="15" customHeight="1" x14ac:dyDescent="0.25">
      <c r="A137" s="53" t="s">
        <v>76</v>
      </c>
      <c r="B137" s="60" t="s">
        <v>133</v>
      </c>
      <c r="C137" s="52" t="str">
        <f t="shared" ref="C137:C146" si="24">"0x"&amp;DEC2HEX(ROW()-ROW($A$137)+1,2)</f>
        <v>0x01</v>
      </c>
      <c r="D137" s="52" t="s">
        <v>126</v>
      </c>
      <c r="E137" s="34" t="s">
        <v>78</v>
      </c>
      <c r="F137" s="52" t="s">
        <v>110</v>
      </c>
      <c r="G137" s="52" t="s">
        <v>16</v>
      </c>
      <c r="H137" s="52">
        <v>1</v>
      </c>
      <c r="I137" s="52" t="str">
        <f t="shared" ref="I137:I147" si="25">"4"&amp;IF(H137=4,3,"F")&amp;" "&amp;RIGHT($B$137,2)&amp;" "&amp;"30 "&amp;RIGHT(C137,2)&amp;" 00 00 00 00 "</f>
        <v xml:space="preserve">4F 08 30 01 00 00 00 00 </v>
      </c>
      <c r="J137" s="52" t="str">
        <f t="shared" si="20"/>
        <v>Set value to    1</v>
      </c>
      <c r="K137" s="52" t="str">
        <f t="shared" ref="K137:K147" si="26">"2"&amp;IF(H137=4,3,"F")&amp;" "&amp;RIGHT($B$137,2)&amp;" "&amp;"30 "&amp;RIGHT(C137,2)&amp;IF(G137="float"," 00 00 20 40 "," 01 00 00 00")</f>
        <v>2F 08 30 01 01 00 00 00</v>
      </c>
      <c r="L137" s="35" t="s">
        <v>122</v>
      </c>
    </row>
    <row r="138" spans="1:12" ht="15" customHeight="1" x14ac:dyDescent="0.25">
      <c r="A138" s="54"/>
      <c r="B138" s="61"/>
      <c r="C138" s="49" t="str">
        <f t="shared" si="24"/>
        <v>0x02</v>
      </c>
      <c r="D138" s="49" t="s">
        <v>126</v>
      </c>
      <c r="E138" s="27" t="s">
        <v>178</v>
      </c>
      <c r="F138" s="49" t="s">
        <v>110</v>
      </c>
      <c r="G138" s="49" t="s">
        <v>16</v>
      </c>
      <c r="H138" s="49">
        <v>1</v>
      </c>
      <c r="I138" s="49" t="str">
        <f t="shared" si="25"/>
        <v xml:space="preserve">4F 08 30 02 00 00 00 00 </v>
      </c>
      <c r="J138" s="49" t="str">
        <f t="shared" si="20"/>
        <v>Set value to    1</v>
      </c>
      <c r="K138" s="49" t="str">
        <f t="shared" si="26"/>
        <v>2F 08 30 02 01 00 00 00</v>
      </c>
      <c r="L138" s="28"/>
    </row>
    <row r="139" spans="1:12" ht="15" customHeight="1" x14ac:dyDescent="0.25">
      <c r="A139" s="54"/>
      <c r="B139" s="61"/>
      <c r="C139" s="49" t="str">
        <f t="shared" si="24"/>
        <v>0x03</v>
      </c>
      <c r="D139" s="49" t="s">
        <v>126</v>
      </c>
      <c r="E139" s="27" t="s">
        <v>79</v>
      </c>
      <c r="F139" s="49" t="s">
        <v>115</v>
      </c>
      <c r="G139" s="49" t="s">
        <v>62</v>
      </c>
      <c r="H139" s="49">
        <v>4</v>
      </c>
      <c r="I139" s="49" t="str">
        <f t="shared" si="25"/>
        <v xml:space="preserve">43 08 30 03 00 00 00 00 </v>
      </c>
      <c r="J139" s="49" t="str">
        <f t="shared" si="20"/>
        <v>Set value to    1</v>
      </c>
      <c r="K139" s="49" t="str">
        <f t="shared" si="26"/>
        <v>23 08 30 03 01 00 00 00</v>
      </c>
      <c r="L139" s="28" t="s">
        <v>122</v>
      </c>
    </row>
    <row r="140" spans="1:12" ht="15" customHeight="1" x14ac:dyDescent="0.25">
      <c r="A140" s="54"/>
      <c r="B140" s="61"/>
      <c r="C140" s="49" t="str">
        <f t="shared" si="24"/>
        <v>0x04</v>
      </c>
      <c r="D140" s="49" t="s">
        <v>126</v>
      </c>
      <c r="E140" s="27" t="s">
        <v>80</v>
      </c>
      <c r="F140" s="49" t="s">
        <v>110</v>
      </c>
      <c r="G140" s="49" t="s">
        <v>15</v>
      </c>
      <c r="H140" s="49">
        <v>4</v>
      </c>
      <c r="I140" s="49" t="str">
        <f t="shared" si="25"/>
        <v xml:space="preserve">43 08 30 04 00 00 00 00 </v>
      </c>
      <c r="J140" s="49" t="str">
        <f t="shared" si="20"/>
        <v>Set value to 2.5</v>
      </c>
      <c r="K140" s="49" t="str">
        <f t="shared" si="26"/>
        <v xml:space="preserve">23 08 30 04 00 00 20 40 </v>
      </c>
      <c r="L140" s="28"/>
    </row>
    <row r="141" spans="1:12" ht="15" customHeight="1" x14ac:dyDescent="0.25">
      <c r="A141" s="54"/>
      <c r="B141" s="61"/>
      <c r="C141" s="49" t="str">
        <f t="shared" si="24"/>
        <v>0x05</v>
      </c>
      <c r="D141" s="49" t="s">
        <v>126</v>
      </c>
      <c r="E141" s="27" t="s">
        <v>81</v>
      </c>
      <c r="F141" s="49" t="s">
        <v>110</v>
      </c>
      <c r="G141" s="49" t="s">
        <v>15</v>
      </c>
      <c r="H141" s="49">
        <v>4</v>
      </c>
      <c r="I141" s="49" t="str">
        <f t="shared" si="25"/>
        <v xml:space="preserve">43 08 30 05 00 00 00 00 </v>
      </c>
      <c r="J141" s="49" t="str">
        <f t="shared" si="20"/>
        <v>Set value to 2.5</v>
      </c>
      <c r="K141" s="49" t="str">
        <f t="shared" si="26"/>
        <v xml:space="preserve">23 08 30 05 00 00 20 40 </v>
      </c>
      <c r="L141" s="28"/>
    </row>
    <row r="142" spans="1:12" ht="15" customHeight="1" x14ac:dyDescent="0.25">
      <c r="A142" s="54"/>
      <c r="B142" s="61"/>
      <c r="C142" s="49" t="str">
        <f t="shared" si="24"/>
        <v>0x06</v>
      </c>
      <c r="D142" s="49" t="s">
        <v>126</v>
      </c>
      <c r="E142" s="27" t="s">
        <v>82</v>
      </c>
      <c r="F142" s="49" t="s">
        <v>110</v>
      </c>
      <c r="G142" s="49" t="s">
        <v>62</v>
      </c>
      <c r="H142" s="49">
        <v>4</v>
      </c>
      <c r="I142" s="49" t="str">
        <f t="shared" si="25"/>
        <v xml:space="preserve">43 08 30 06 00 00 00 00 </v>
      </c>
      <c r="J142" s="49" t="str">
        <f t="shared" si="20"/>
        <v>Set value to    1</v>
      </c>
      <c r="K142" s="49" t="str">
        <f t="shared" si="26"/>
        <v>23 08 30 06 01 00 00 00</v>
      </c>
      <c r="L142" s="28" t="s">
        <v>123</v>
      </c>
    </row>
    <row r="143" spans="1:12" ht="15" customHeight="1" x14ac:dyDescent="0.25">
      <c r="A143" s="54"/>
      <c r="B143" s="61"/>
      <c r="C143" s="49" t="str">
        <f t="shared" si="24"/>
        <v>0x07</v>
      </c>
      <c r="D143" s="49" t="s">
        <v>126</v>
      </c>
      <c r="E143" s="27" t="s">
        <v>84</v>
      </c>
      <c r="F143" s="49" t="s">
        <v>253</v>
      </c>
      <c r="G143" s="49" t="s">
        <v>16</v>
      </c>
      <c r="H143" s="49">
        <v>1</v>
      </c>
      <c r="I143" s="49" t="str">
        <f t="shared" si="25"/>
        <v xml:space="preserve">4F 08 30 07 00 00 00 00 </v>
      </c>
      <c r="J143" s="49" t="str">
        <f t="shared" si="20"/>
        <v>Set value to    1</v>
      </c>
      <c r="K143" s="49" t="str">
        <f t="shared" si="26"/>
        <v>2F 08 30 07 01 00 00 00</v>
      </c>
      <c r="L143" s="28" t="s">
        <v>122</v>
      </c>
    </row>
    <row r="144" spans="1:12" ht="15" customHeight="1" x14ac:dyDescent="0.25">
      <c r="A144" s="54"/>
      <c r="B144" s="61"/>
      <c r="C144" s="49" t="str">
        <f t="shared" si="24"/>
        <v>0x08</v>
      </c>
      <c r="D144" s="49" t="s">
        <v>126</v>
      </c>
      <c r="E144" s="27" t="s">
        <v>83</v>
      </c>
      <c r="F144" s="49" t="s">
        <v>252</v>
      </c>
      <c r="G144" s="49" t="s">
        <v>16</v>
      </c>
      <c r="H144" s="49">
        <v>1</v>
      </c>
      <c r="I144" s="49" t="str">
        <f t="shared" si="25"/>
        <v xml:space="preserve">4F 08 30 08 00 00 00 00 </v>
      </c>
      <c r="J144" s="49" t="str">
        <f t="shared" si="20"/>
        <v>Set value to    1</v>
      </c>
      <c r="K144" s="49" t="str">
        <f t="shared" si="26"/>
        <v>2F 08 30 08 01 00 00 00</v>
      </c>
      <c r="L144" s="28" t="s">
        <v>122</v>
      </c>
    </row>
    <row r="145" spans="1:12" ht="15" customHeight="1" x14ac:dyDescent="0.25">
      <c r="A145" s="54"/>
      <c r="B145" s="61"/>
      <c r="C145" s="49" t="str">
        <f t="shared" si="24"/>
        <v>0x09</v>
      </c>
      <c r="D145" s="49" t="s">
        <v>126</v>
      </c>
      <c r="E145" s="27" t="s">
        <v>146</v>
      </c>
      <c r="F145" s="49" t="s">
        <v>114</v>
      </c>
      <c r="G145" s="49" t="s">
        <v>16</v>
      </c>
      <c r="H145" s="49">
        <v>1</v>
      </c>
      <c r="I145" s="49" t="str">
        <f t="shared" si="25"/>
        <v xml:space="preserve">4F 08 30 09 00 00 00 00 </v>
      </c>
      <c r="J145" s="49" t="str">
        <f t="shared" si="20"/>
        <v>Set value to    1</v>
      </c>
      <c r="K145" s="49" t="str">
        <f t="shared" si="26"/>
        <v>2F 08 30 09 01 00 00 00</v>
      </c>
      <c r="L145" s="28" t="s">
        <v>148</v>
      </c>
    </row>
    <row r="146" spans="1:12" ht="15" customHeight="1" x14ac:dyDescent="0.25">
      <c r="A146" s="54"/>
      <c r="B146" s="61"/>
      <c r="C146" s="49" t="str">
        <f t="shared" si="24"/>
        <v>0x0A</v>
      </c>
      <c r="D146" s="49" t="s">
        <v>126</v>
      </c>
      <c r="E146" s="27" t="s">
        <v>147</v>
      </c>
      <c r="F146" s="49" t="s">
        <v>114</v>
      </c>
      <c r="G146" s="49" t="s">
        <v>15</v>
      </c>
      <c r="H146" s="49">
        <v>4</v>
      </c>
      <c r="I146" s="49" t="str">
        <f t="shared" si="25"/>
        <v xml:space="preserve">43 08 30 0A 00 00 00 00 </v>
      </c>
      <c r="J146" s="49" t="str">
        <f t="shared" si="20"/>
        <v>Set value to 2.5</v>
      </c>
      <c r="K146" s="49" t="str">
        <f t="shared" si="26"/>
        <v xml:space="preserve">23 08 30 0A 00 00 20 40 </v>
      </c>
      <c r="L146" s="28"/>
    </row>
    <row r="147" spans="1:12" ht="15" customHeight="1" x14ac:dyDescent="0.25">
      <c r="A147" s="55"/>
      <c r="B147" s="62"/>
      <c r="C147" s="51" t="s">
        <v>254</v>
      </c>
      <c r="D147" s="51" t="s">
        <v>126</v>
      </c>
      <c r="E147" s="36" t="s">
        <v>255</v>
      </c>
      <c r="F147" s="51" t="s">
        <v>113</v>
      </c>
      <c r="G147" s="51" t="s">
        <v>62</v>
      </c>
      <c r="H147" s="51">
        <v>4</v>
      </c>
      <c r="I147" s="51" t="str">
        <f t="shared" si="25"/>
        <v xml:space="preserve">43 08 30 0B 00 00 00 00 </v>
      </c>
      <c r="J147" s="51" t="str">
        <f t="shared" si="20"/>
        <v>Set value to    1</v>
      </c>
      <c r="K147" s="51" t="str">
        <f t="shared" si="26"/>
        <v>23 08 30 0B 01 00 00 00</v>
      </c>
      <c r="L147" s="37" t="s">
        <v>256</v>
      </c>
    </row>
    <row r="148" spans="1:12" ht="13.8" customHeight="1" x14ac:dyDescent="0.25">
      <c r="A148" s="53" t="s">
        <v>77</v>
      </c>
      <c r="B148" s="60" t="s">
        <v>134</v>
      </c>
      <c r="C148" s="49" t="str">
        <f t="shared" ref="C148:C159" si="27">"0x"&amp;DEC2HEX(ROW()-ROW($A$148)+1,2)</f>
        <v>0x01</v>
      </c>
      <c r="D148" s="49" t="s">
        <v>126</v>
      </c>
      <c r="E148" s="27" t="s">
        <v>85</v>
      </c>
      <c r="F148" s="49" t="s">
        <v>110</v>
      </c>
      <c r="G148" s="49" t="s">
        <v>16</v>
      </c>
      <c r="H148" s="49">
        <v>1</v>
      </c>
      <c r="I148" s="49" t="str">
        <f t="shared" ref="I148:I159" si="28">"4"&amp;IF(H148=4,3,"F")&amp;" "&amp;RIGHT($B$148,2)&amp;" "&amp;"30 "&amp;RIGHT(C148,2)&amp;" 00 00 00 00 "</f>
        <v xml:space="preserve">4F 09 30 01 00 00 00 00 </v>
      </c>
      <c r="J148" s="49" t="str">
        <f t="shared" si="20"/>
        <v>Set value to    1</v>
      </c>
      <c r="K148" s="49" t="str">
        <f t="shared" ref="K148:K159" si="29">"2"&amp;IF(H148=4,3,"F")&amp;" "&amp;RIGHT($B$148,2)&amp;" "&amp;"30 "&amp;RIGHT(C148,2)&amp;IF(G148="float"," 00 00 20 40 "," 01 00 00 00")</f>
        <v>2F 09 30 01 01 00 00 00</v>
      </c>
      <c r="L148" s="28" t="s">
        <v>122</v>
      </c>
    </row>
    <row r="149" spans="1:12" x14ac:dyDescent="0.25">
      <c r="A149" s="54"/>
      <c r="B149" s="61"/>
      <c r="C149" s="49" t="str">
        <f t="shared" si="27"/>
        <v>0x02</v>
      </c>
      <c r="D149" s="49" t="s">
        <v>126</v>
      </c>
      <c r="E149" s="27" t="s">
        <v>86</v>
      </c>
      <c r="F149" s="49" t="s">
        <v>113</v>
      </c>
      <c r="G149" s="49" t="s">
        <v>15</v>
      </c>
      <c r="H149" s="49">
        <v>4</v>
      </c>
      <c r="I149" s="49" t="str">
        <f t="shared" si="28"/>
        <v xml:space="preserve">43 09 30 02 00 00 00 00 </v>
      </c>
      <c r="J149" s="49" t="str">
        <f t="shared" si="20"/>
        <v>Set value to 2.5</v>
      </c>
      <c r="K149" s="49" t="str">
        <f t="shared" si="29"/>
        <v xml:space="preserve">23 09 30 02 00 00 20 40 </v>
      </c>
      <c r="L149" s="28"/>
    </row>
    <row r="150" spans="1:12" x14ac:dyDescent="0.25">
      <c r="A150" s="54"/>
      <c r="B150" s="61"/>
      <c r="C150" s="49" t="str">
        <f t="shared" si="27"/>
        <v>0x03</v>
      </c>
      <c r="D150" s="49" t="s">
        <v>126</v>
      </c>
      <c r="E150" s="27" t="s">
        <v>87</v>
      </c>
      <c r="F150" s="49" t="s">
        <v>113</v>
      </c>
      <c r="G150" s="49" t="s">
        <v>16</v>
      </c>
      <c r="H150" s="49">
        <v>1</v>
      </c>
      <c r="I150" s="49" t="str">
        <f t="shared" si="28"/>
        <v xml:space="preserve">4F 09 30 03 00 00 00 00 </v>
      </c>
      <c r="J150" s="49" t="str">
        <f t="shared" si="20"/>
        <v>Set value to    1</v>
      </c>
      <c r="K150" s="49" t="str">
        <f t="shared" si="29"/>
        <v>2F 09 30 03 01 00 00 00</v>
      </c>
      <c r="L150" s="28" t="s">
        <v>122</v>
      </c>
    </row>
    <row r="151" spans="1:12" x14ac:dyDescent="0.25">
      <c r="A151" s="54"/>
      <c r="B151" s="61"/>
      <c r="C151" s="49" t="str">
        <f t="shared" si="27"/>
        <v>0x04</v>
      </c>
      <c r="D151" s="49" t="s">
        <v>126</v>
      </c>
      <c r="E151" s="27" t="s">
        <v>88</v>
      </c>
      <c r="F151" s="49" t="s">
        <v>113</v>
      </c>
      <c r="G151" s="49" t="s">
        <v>15</v>
      </c>
      <c r="H151" s="49">
        <v>4</v>
      </c>
      <c r="I151" s="49" t="str">
        <f t="shared" si="28"/>
        <v xml:space="preserve">43 09 30 04 00 00 00 00 </v>
      </c>
      <c r="J151" s="49" t="str">
        <f t="shared" si="20"/>
        <v>Set value to 2.5</v>
      </c>
      <c r="K151" s="49" t="str">
        <f t="shared" si="29"/>
        <v xml:space="preserve">23 09 30 04 00 00 20 40 </v>
      </c>
      <c r="L151" s="28"/>
    </row>
    <row r="152" spans="1:12" x14ac:dyDescent="0.25">
      <c r="A152" s="54"/>
      <c r="B152" s="61"/>
      <c r="C152" s="49" t="str">
        <f t="shared" si="27"/>
        <v>0x05</v>
      </c>
      <c r="D152" s="49" t="s">
        <v>126</v>
      </c>
      <c r="E152" s="27" t="s">
        <v>89</v>
      </c>
      <c r="F152" s="49" t="s">
        <v>113</v>
      </c>
      <c r="G152" s="49" t="s">
        <v>16</v>
      </c>
      <c r="H152" s="49">
        <v>1</v>
      </c>
      <c r="I152" s="49" t="str">
        <f t="shared" si="28"/>
        <v xml:space="preserve">4F 09 30 05 00 00 00 00 </v>
      </c>
      <c r="J152" s="49" t="str">
        <f t="shared" si="20"/>
        <v>Set value to    1</v>
      </c>
      <c r="K152" s="49" t="str">
        <f t="shared" si="29"/>
        <v>2F 09 30 05 01 00 00 00</v>
      </c>
      <c r="L152" s="28" t="s">
        <v>122</v>
      </c>
    </row>
    <row r="153" spans="1:12" x14ac:dyDescent="0.25">
      <c r="A153" s="54"/>
      <c r="B153" s="61"/>
      <c r="C153" s="49" t="str">
        <f t="shared" si="27"/>
        <v>0x06</v>
      </c>
      <c r="D153" s="49" t="s">
        <v>126</v>
      </c>
      <c r="E153" s="27" t="s">
        <v>90</v>
      </c>
      <c r="F153" s="49" t="s">
        <v>110</v>
      </c>
      <c r="G153" s="49" t="s">
        <v>62</v>
      </c>
      <c r="H153" s="49">
        <v>4</v>
      </c>
      <c r="I153" s="49" t="str">
        <f t="shared" si="28"/>
        <v xml:space="preserve">43 09 30 06 00 00 00 00 </v>
      </c>
      <c r="J153" s="49" t="str">
        <f t="shared" si="20"/>
        <v>Set value to    1</v>
      </c>
      <c r="K153" s="49" t="str">
        <f t="shared" si="29"/>
        <v>23 09 30 06 01 00 00 00</v>
      </c>
      <c r="L153" s="28"/>
    </row>
    <row r="154" spans="1:12" x14ac:dyDescent="0.25">
      <c r="A154" s="54"/>
      <c r="B154" s="61"/>
      <c r="C154" s="49" t="str">
        <f t="shared" si="27"/>
        <v>0x07</v>
      </c>
      <c r="D154" s="49" t="s">
        <v>126</v>
      </c>
      <c r="E154" s="27" t="s">
        <v>91</v>
      </c>
      <c r="F154" s="49" t="s">
        <v>110</v>
      </c>
      <c r="G154" s="49" t="s">
        <v>62</v>
      </c>
      <c r="H154" s="49">
        <v>4</v>
      </c>
      <c r="I154" s="49" t="str">
        <f t="shared" si="28"/>
        <v xml:space="preserve">43 09 30 07 00 00 00 00 </v>
      </c>
      <c r="J154" s="49" t="str">
        <f t="shared" si="20"/>
        <v>Set value to    1</v>
      </c>
      <c r="K154" s="49" t="str">
        <f t="shared" si="29"/>
        <v>23 09 30 07 01 00 00 00</v>
      </c>
      <c r="L154" s="28"/>
    </row>
    <row r="155" spans="1:12" x14ac:dyDescent="0.25">
      <c r="A155" s="54"/>
      <c r="B155" s="61"/>
      <c r="C155" s="49" t="str">
        <f t="shared" si="27"/>
        <v>0x08</v>
      </c>
      <c r="D155" s="49" t="s">
        <v>126</v>
      </c>
      <c r="E155" s="27" t="s">
        <v>92</v>
      </c>
      <c r="F155" s="49" t="s">
        <v>110</v>
      </c>
      <c r="G155" s="49" t="s">
        <v>15</v>
      </c>
      <c r="H155" s="49">
        <v>4</v>
      </c>
      <c r="I155" s="49" t="str">
        <f t="shared" si="28"/>
        <v xml:space="preserve">43 09 30 08 00 00 00 00 </v>
      </c>
      <c r="J155" s="49" t="str">
        <f t="shared" si="20"/>
        <v>Set value to 2.5</v>
      </c>
      <c r="K155" s="49" t="str">
        <f t="shared" si="29"/>
        <v xml:space="preserve">23 09 30 08 00 00 20 40 </v>
      </c>
      <c r="L155" s="28"/>
    </row>
    <row r="156" spans="1:12" x14ac:dyDescent="0.25">
      <c r="A156" s="54"/>
      <c r="B156" s="61"/>
      <c r="C156" s="49" t="str">
        <f t="shared" si="27"/>
        <v>0x09</v>
      </c>
      <c r="D156" s="49" t="s">
        <v>126</v>
      </c>
      <c r="E156" s="27" t="s">
        <v>93</v>
      </c>
      <c r="F156" s="49" t="s">
        <v>110</v>
      </c>
      <c r="G156" s="49" t="s">
        <v>15</v>
      </c>
      <c r="H156" s="49">
        <v>4</v>
      </c>
      <c r="I156" s="49" t="str">
        <f t="shared" si="28"/>
        <v xml:space="preserve">43 09 30 09 00 00 00 00 </v>
      </c>
      <c r="J156" s="49" t="str">
        <f t="shared" si="20"/>
        <v>Set value to 2.5</v>
      </c>
      <c r="K156" s="49" t="str">
        <f t="shared" si="29"/>
        <v xml:space="preserve">23 09 30 09 00 00 20 40 </v>
      </c>
      <c r="L156" s="28"/>
    </row>
    <row r="157" spans="1:12" x14ac:dyDescent="0.25">
      <c r="A157" s="54"/>
      <c r="B157" s="61"/>
      <c r="C157" s="49" t="str">
        <f t="shared" si="27"/>
        <v>0x0A</v>
      </c>
      <c r="D157" s="49" t="s">
        <v>126</v>
      </c>
      <c r="E157" s="27" t="s">
        <v>94</v>
      </c>
      <c r="F157" s="49" t="s">
        <v>110</v>
      </c>
      <c r="G157" s="49" t="s">
        <v>15</v>
      </c>
      <c r="H157" s="49">
        <v>4</v>
      </c>
      <c r="I157" s="49" t="str">
        <f t="shared" si="28"/>
        <v xml:space="preserve">43 09 30 0A 00 00 00 00 </v>
      </c>
      <c r="J157" s="49" t="str">
        <f t="shared" si="20"/>
        <v>Set value to 2.5</v>
      </c>
      <c r="K157" s="49" t="str">
        <f t="shared" si="29"/>
        <v xml:space="preserve">23 09 30 0A 00 00 20 40 </v>
      </c>
      <c r="L157" s="28"/>
    </row>
    <row r="158" spans="1:12" x14ac:dyDescent="0.25">
      <c r="A158" s="54"/>
      <c r="B158" s="61"/>
      <c r="C158" s="32" t="str">
        <f t="shared" si="27"/>
        <v>0x0B</v>
      </c>
      <c r="D158" s="32" t="s">
        <v>126</v>
      </c>
      <c r="E158" s="48" t="s">
        <v>311</v>
      </c>
      <c r="F158" s="32" t="s">
        <v>110</v>
      </c>
      <c r="G158" s="32" t="s">
        <v>16</v>
      </c>
      <c r="H158" s="32">
        <v>1</v>
      </c>
      <c r="I158" s="32" t="str">
        <f t="shared" si="28"/>
        <v xml:space="preserve">4F 09 30 0B 00 00 00 00 </v>
      </c>
      <c r="J158" s="32" t="str">
        <f t="shared" si="20"/>
        <v>Set value to    1</v>
      </c>
      <c r="K158" s="32" t="str">
        <f t="shared" si="29"/>
        <v>2F 09 30 0B 01 00 00 00</v>
      </c>
      <c r="L158" s="28"/>
    </row>
    <row r="159" spans="1:12" x14ac:dyDescent="0.25">
      <c r="A159" s="55"/>
      <c r="B159" s="62"/>
      <c r="C159" s="33" t="str">
        <f t="shared" si="27"/>
        <v>0x0C</v>
      </c>
      <c r="D159" s="32" t="s">
        <v>126</v>
      </c>
      <c r="E159" s="48" t="s">
        <v>312</v>
      </c>
      <c r="F159" s="33" t="s">
        <v>110</v>
      </c>
      <c r="G159" s="32" t="s">
        <v>16</v>
      </c>
      <c r="H159" s="32">
        <v>1</v>
      </c>
      <c r="I159" s="32" t="str">
        <f t="shared" si="28"/>
        <v xml:space="preserve">4F 09 30 0C 00 00 00 00 </v>
      </c>
      <c r="J159" s="32" t="str">
        <f t="shared" si="20"/>
        <v>Set value to    1</v>
      </c>
      <c r="K159" s="32" t="str">
        <f t="shared" si="29"/>
        <v>2F 09 30 0C 01 00 00 00</v>
      </c>
      <c r="L159" s="28"/>
    </row>
    <row r="160" spans="1:12" ht="75" customHeight="1" x14ac:dyDescent="0.25">
      <c r="A160" s="53" t="s">
        <v>95</v>
      </c>
      <c r="B160" s="60" t="s">
        <v>251</v>
      </c>
      <c r="C160" s="49" t="s">
        <v>2</v>
      </c>
      <c r="D160" s="52" t="s">
        <v>120</v>
      </c>
      <c r="E160" s="34" t="s">
        <v>97</v>
      </c>
      <c r="F160" s="52" t="s">
        <v>110</v>
      </c>
      <c r="G160" s="52" t="s">
        <v>62</v>
      </c>
      <c r="H160" s="52">
        <v>4</v>
      </c>
      <c r="I160" s="52" t="str">
        <f>"4"&amp;IF(H160=4,3,"F")&amp;" "&amp;RIGHT($B$160,2)&amp;" "&amp;"30 "&amp;RIGHT(C160,2)&amp;" 00 00 00 00 "</f>
        <v xml:space="preserve">43 0A 30 01 00 00 00 00 </v>
      </c>
      <c r="J160" s="56" t="s">
        <v>120</v>
      </c>
      <c r="K160" s="56"/>
      <c r="L160" s="43" t="s">
        <v>314</v>
      </c>
    </row>
    <row r="161" spans="1:12" ht="75" customHeight="1" x14ac:dyDescent="0.25">
      <c r="A161" s="55"/>
      <c r="B161" s="58"/>
      <c r="C161" s="51" t="s">
        <v>96</v>
      </c>
      <c r="D161" s="51" t="s">
        <v>120</v>
      </c>
      <c r="E161" s="36" t="s">
        <v>98</v>
      </c>
      <c r="F161" s="51" t="s">
        <v>110</v>
      </c>
      <c r="G161" s="51" t="s">
        <v>62</v>
      </c>
      <c r="H161" s="51">
        <v>4</v>
      </c>
      <c r="I161" s="51" t="str">
        <f>"4"&amp;IF(H161=4,3,"F")&amp;" "&amp;RIGHT($B$160,2)&amp;" "&amp;"30 "&amp;RIGHT(C161,2)&amp;" 00 00 00 00 "</f>
        <v xml:space="preserve">43 0A 30 02 00 00 00 00 </v>
      </c>
      <c r="J161" s="58" t="s">
        <v>120</v>
      </c>
      <c r="K161" s="58"/>
      <c r="L161" s="30" t="s">
        <v>315</v>
      </c>
    </row>
    <row r="162" spans="1:12" x14ac:dyDescent="0.25">
      <c r="A162" s="53" t="s">
        <v>99</v>
      </c>
      <c r="B162" s="60" t="s">
        <v>135</v>
      </c>
      <c r="C162" s="52" t="str">
        <f t="shared" ref="C162:C175" si="30">"0x"&amp;DEC2HEX(ROW()-ROW($A$162)+1,2)</f>
        <v>0x01</v>
      </c>
      <c r="D162" s="52" t="s">
        <v>120</v>
      </c>
      <c r="E162" s="34" t="s">
        <v>20</v>
      </c>
      <c r="F162" s="52" t="s">
        <v>110</v>
      </c>
      <c r="G162" s="52" t="s">
        <v>15</v>
      </c>
      <c r="H162" s="52">
        <v>4</v>
      </c>
      <c r="I162" s="52" t="str">
        <f t="shared" ref="I162:I175" si="31">"4"&amp;IF(H162=4,3,"F")&amp;" "&amp;RIGHT($B$162,2)&amp;" "&amp;"30 "&amp;RIGHT(C162,2)&amp;" 00 00 00 00 "</f>
        <v xml:space="preserve">43 0B 30 01 00 00 00 00 </v>
      </c>
      <c r="J162" s="57" t="s">
        <v>120</v>
      </c>
      <c r="K162" s="57"/>
      <c r="L162" s="44"/>
    </row>
    <row r="163" spans="1:12" x14ac:dyDescent="0.25">
      <c r="A163" s="54"/>
      <c r="B163" s="57"/>
      <c r="C163" s="49" t="str">
        <f t="shared" si="30"/>
        <v>0x02</v>
      </c>
      <c r="D163" s="49" t="s">
        <v>120</v>
      </c>
      <c r="E163" s="27" t="s">
        <v>6</v>
      </c>
      <c r="F163" s="49" t="s">
        <v>110</v>
      </c>
      <c r="G163" s="49" t="s">
        <v>15</v>
      </c>
      <c r="H163" s="49">
        <v>4</v>
      </c>
      <c r="I163" s="49" t="str">
        <f t="shared" si="31"/>
        <v xml:space="preserve">43 0B 30 02 00 00 00 00 </v>
      </c>
      <c r="J163" s="57" t="s">
        <v>120</v>
      </c>
      <c r="K163" s="57"/>
      <c r="L163" s="45"/>
    </row>
    <row r="164" spans="1:12" x14ac:dyDescent="0.25">
      <c r="A164" s="54"/>
      <c r="B164" s="57"/>
      <c r="C164" s="49" t="str">
        <f t="shared" si="30"/>
        <v>0x03</v>
      </c>
      <c r="D164" s="49" t="s">
        <v>120</v>
      </c>
      <c r="E164" s="27" t="s">
        <v>100</v>
      </c>
      <c r="F164" s="49" t="s">
        <v>110</v>
      </c>
      <c r="G164" s="49" t="s">
        <v>15</v>
      </c>
      <c r="H164" s="49">
        <v>4</v>
      </c>
      <c r="I164" s="49" t="str">
        <f t="shared" si="31"/>
        <v xml:space="preserve">43 0B 30 03 00 00 00 00 </v>
      </c>
      <c r="J164" s="57" t="s">
        <v>120</v>
      </c>
      <c r="K164" s="57"/>
      <c r="L164" s="45"/>
    </row>
    <row r="165" spans="1:12" x14ac:dyDescent="0.25">
      <c r="A165" s="54"/>
      <c r="B165" s="57"/>
      <c r="C165" s="49" t="str">
        <f t="shared" si="30"/>
        <v>0x04</v>
      </c>
      <c r="D165" s="49" t="s">
        <v>120</v>
      </c>
      <c r="E165" s="27" t="s">
        <v>101</v>
      </c>
      <c r="F165" s="49" t="s">
        <v>110</v>
      </c>
      <c r="G165" s="49" t="s">
        <v>15</v>
      </c>
      <c r="H165" s="49">
        <v>4</v>
      </c>
      <c r="I165" s="49" t="str">
        <f t="shared" si="31"/>
        <v xml:space="preserve">43 0B 30 04 00 00 00 00 </v>
      </c>
      <c r="J165" s="57" t="s">
        <v>120</v>
      </c>
      <c r="K165" s="57"/>
      <c r="L165" s="45"/>
    </row>
    <row r="166" spans="1:12" x14ac:dyDescent="0.25">
      <c r="A166" s="54"/>
      <c r="B166" s="57"/>
      <c r="C166" s="49" t="str">
        <f t="shared" si="30"/>
        <v>0x05</v>
      </c>
      <c r="D166" s="49" t="s">
        <v>120</v>
      </c>
      <c r="E166" s="27" t="s">
        <v>102</v>
      </c>
      <c r="F166" s="49" t="s">
        <v>110</v>
      </c>
      <c r="G166" s="49" t="s">
        <v>15</v>
      </c>
      <c r="H166" s="49">
        <v>4</v>
      </c>
      <c r="I166" s="49" t="str">
        <f t="shared" si="31"/>
        <v xml:space="preserve">43 0B 30 05 00 00 00 00 </v>
      </c>
      <c r="J166" s="57" t="s">
        <v>120</v>
      </c>
      <c r="K166" s="57"/>
      <c r="L166" s="45"/>
    </row>
    <row r="167" spans="1:12" x14ac:dyDescent="0.25">
      <c r="A167" s="54"/>
      <c r="B167" s="57"/>
      <c r="C167" s="49" t="str">
        <f t="shared" si="30"/>
        <v>0x06</v>
      </c>
      <c r="D167" s="49" t="s">
        <v>120</v>
      </c>
      <c r="E167" s="27" t="s">
        <v>103</v>
      </c>
      <c r="F167" s="49" t="s">
        <v>110</v>
      </c>
      <c r="G167" s="49" t="s">
        <v>15</v>
      </c>
      <c r="H167" s="49">
        <v>4</v>
      </c>
      <c r="I167" s="49" t="str">
        <f t="shared" si="31"/>
        <v xml:space="preserve">43 0B 30 06 00 00 00 00 </v>
      </c>
      <c r="J167" s="57" t="s">
        <v>120</v>
      </c>
      <c r="K167" s="57"/>
      <c r="L167" s="45"/>
    </row>
    <row r="168" spans="1:12" x14ac:dyDescent="0.25">
      <c r="A168" s="54"/>
      <c r="B168" s="57"/>
      <c r="C168" s="49" t="str">
        <f t="shared" si="30"/>
        <v>0x07</v>
      </c>
      <c r="D168" s="49" t="s">
        <v>120</v>
      </c>
      <c r="E168" s="27" t="s">
        <v>179</v>
      </c>
      <c r="F168" s="49" t="s">
        <v>110</v>
      </c>
      <c r="G168" s="49" t="s">
        <v>15</v>
      </c>
      <c r="H168" s="49">
        <v>4</v>
      </c>
      <c r="I168" s="49" t="str">
        <f t="shared" si="31"/>
        <v xml:space="preserve">43 0B 30 07 00 00 00 00 </v>
      </c>
      <c r="J168" s="57" t="s">
        <v>120</v>
      </c>
      <c r="K168" s="57"/>
      <c r="L168" s="45"/>
    </row>
    <row r="169" spans="1:12" x14ac:dyDescent="0.25">
      <c r="A169" s="54"/>
      <c r="B169" s="57"/>
      <c r="C169" s="49" t="str">
        <f t="shared" si="30"/>
        <v>0x08</v>
      </c>
      <c r="D169" s="49" t="s">
        <v>120</v>
      </c>
      <c r="E169" s="27" t="s">
        <v>104</v>
      </c>
      <c r="F169" s="49" t="s">
        <v>110</v>
      </c>
      <c r="G169" s="49" t="s">
        <v>15</v>
      </c>
      <c r="H169" s="49">
        <v>4</v>
      </c>
      <c r="I169" s="49" t="str">
        <f t="shared" si="31"/>
        <v xml:space="preserve">43 0B 30 08 00 00 00 00 </v>
      </c>
      <c r="J169" s="57" t="s">
        <v>120</v>
      </c>
      <c r="K169" s="57"/>
      <c r="L169" s="45"/>
    </row>
    <row r="170" spans="1:12" x14ac:dyDescent="0.25">
      <c r="A170" s="54"/>
      <c r="B170" s="57"/>
      <c r="C170" s="49" t="str">
        <f t="shared" si="30"/>
        <v>0x09</v>
      </c>
      <c r="D170" s="49" t="s">
        <v>120</v>
      </c>
      <c r="E170" s="27" t="s">
        <v>180</v>
      </c>
      <c r="F170" s="49" t="s">
        <v>110</v>
      </c>
      <c r="G170" s="49" t="s">
        <v>15</v>
      </c>
      <c r="H170" s="49">
        <v>4</v>
      </c>
      <c r="I170" s="49" t="str">
        <f t="shared" si="31"/>
        <v xml:space="preserve">43 0B 30 09 00 00 00 00 </v>
      </c>
      <c r="J170" s="57" t="s">
        <v>120</v>
      </c>
      <c r="K170" s="57"/>
      <c r="L170" s="45"/>
    </row>
    <row r="171" spans="1:12" x14ac:dyDescent="0.25">
      <c r="A171" s="54"/>
      <c r="B171" s="57"/>
      <c r="C171" s="49" t="str">
        <f t="shared" si="30"/>
        <v>0x0A</v>
      </c>
      <c r="D171" s="49" t="s">
        <v>120</v>
      </c>
      <c r="E171" s="27" t="s">
        <v>105</v>
      </c>
      <c r="F171" s="49" t="s">
        <v>110</v>
      </c>
      <c r="G171" s="49" t="s">
        <v>15</v>
      </c>
      <c r="H171" s="49">
        <v>4</v>
      </c>
      <c r="I171" s="49" t="str">
        <f t="shared" si="31"/>
        <v xml:space="preserve">43 0B 30 0A 00 00 00 00 </v>
      </c>
      <c r="J171" s="57" t="s">
        <v>120</v>
      </c>
      <c r="K171" s="57"/>
      <c r="L171" s="45"/>
    </row>
    <row r="172" spans="1:12" x14ac:dyDescent="0.25">
      <c r="A172" s="54"/>
      <c r="B172" s="57"/>
      <c r="C172" s="49" t="str">
        <f t="shared" si="30"/>
        <v>0x0B</v>
      </c>
      <c r="D172" s="49" t="s">
        <v>120</v>
      </c>
      <c r="E172" s="27" t="s">
        <v>181</v>
      </c>
      <c r="F172" s="49" t="s">
        <v>110</v>
      </c>
      <c r="G172" s="49" t="s">
        <v>15</v>
      </c>
      <c r="H172" s="49">
        <v>4</v>
      </c>
      <c r="I172" s="49" t="str">
        <f t="shared" si="31"/>
        <v xml:space="preserve">43 0B 30 0B 00 00 00 00 </v>
      </c>
      <c r="J172" s="57" t="s">
        <v>120</v>
      </c>
      <c r="K172" s="57"/>
      <c r="L172" s="45"/>
    </row>
    <row r="173" spans="1:12" x14ac:dyDescent="0.25">
      <c r="A173" s="54"/>
      <c r="B173" s="57"/>
      <c r="C173" s="49" t="str">
        <f t="shared" si="30"/>
        <v>0x0C</v>
      </c>
      <c r="D173" s="49" t="s">
        <v>120</v>
      </c>
      <c r="E173" s="27" t="s">
        <v>106</v>
      </c>
      <c r="F173" s="49" t="s">
        <v>110</v>
      </c>
      <c r="G173" s="49" t="s">
        <v>15</v>
      </c>
      <c r="H173" s="49">
        <v>4</v>
      </c>
      <c r="I173" s="49" t="str">
        <f t="shared" si="31"/>
        <v xml:space="preserve">43 0B 30 0C 00 00 00 00 </v>
      </c>
      <c r="J173" s="57" t="s">
        <v>120</v>
      </c>
      <c r="K173" s="57"/>
      <c r="L173" s="45"/>
    </row>
    <row r="174" spans="1:12" x14ac:dyDescent="0.25">
      <c r="A174" s="54"/>
      <c r="B174" s="57"/>
      <c r="C174" s="49" t="str">
        <f t="shared" si="30"/>
        <v>0x0D</v>
      </c>
      <c r="D174" s="49" t="s">
        <v>120</v>
      </c>
      <c r="E174" s="27" t="s">
        <v>107</v>
      </c>
      <c r="F174" s="49" t="s">
        <v>110</v>
      </c>
      <c r="G174" s="49" t="s">
        <v>15</v>
      </c>
      <c r="H174" s="49">
        <v>4</v>
      </c>
      <c r="I174" s="49" t="str">
        <f t="shared" si="31"/>
        <v xml:space="preserve">43 0B 30 0D 00 00 00 00 </v>
      </c>
      <c r="J174" s="57" t="s">
        <v>120</v>
      </c>
      <c r="K174" s="57"/>
      <c r="L174" s="45"/>
    </row>
    <row r="175" spans="1:12" ht="14.4" thickBot="1" x14ac:dyDescent="0.3">
      <c r="A175" s="69"/>
      <c r="B175" s="59"/>
      <c r="C175" s="50" t="str">
        <f t="shared" si="30"/>
        <v>0x0E</v>
      </c>
      <c r="D175" s="50" t="s">
        <v>120</v>
      </c>
      <c r="E175" s="46" t="s">
        <v>108</v>
      </c>
      <c r="F175" s="50" t="s">
        <v>110</v>
      </c>
      <c r="G175" s="50" t="s">
        <v>15</v>
      </c>
      <c r="H175" s="50">
        <v>4</v>
      </c>
      <c r="I175" s="50" t="str">
        <f t="shared" si="31"/>
        <v xml:space="preserve">43 0B 30 0E 00 00 00 00 </v>
      </c>
      <c r="J175" s="59" t="s">
        <v>120</v>
      </c>
      <c r="K175" s="59"/>
      <c r="L175" s="47"/>
    </row>
  </sheetData>
  <mergeCells count="47">
    <mergeCell ref="A1:L1"/>
    <mergeCell ref="B162:B175"/>
    <mergeCell ref="A162:A175"/>
    <mergeCell ref="B160:B161"/>
    <mergeCell ref="A160:A161"/>
    <mergeCell ref="B134:B136"/>
    <mergeCell ref="A134:A136"/>
    <mergeCell ref="B107:B122"/>
    <mergeCell ref="B132:B133"/>
    <mergeCell ref="A132:A133"/>
    <mergeCell ref="A3:A26"/>
    <mergeCell ref="B7:B14"/>
    <mergeCell ref="J2:K2"/>
    <mergeCell ref="B76:B106"/>
    <mergeCell ref="A51:A75"/>
    <mergeCell ref="B51:B75"/>
    <mergeCell ref="J160:K160"/>
    <mergeCell ref="B123:B131"/>
    <mergeCell ref="A123:A131"/>
    <mergeCell ref="A148:A159"/>
    <mergeCell ref="B148:B159"/>
    <mergeCell ref="B15:B16"/>
    <mergeCell ref="B17:B18"/>
    <mergeCell ref="B19:B26"/>
    <mergeCell ref="A27:A38"/>
    <mergeCell ref="B27:B38"/>
    <mergeCell ref="A107:A122"/>
    <mergeCell ref="A76:A106"/>
    <mergeCell ref="J161:K161"/>
    <mergeCell ref="A137:A147"/>
    <mergeCell ref="B137:B147"/>
    <mergeCell ref="A39:A50"/>
    <mergeCell ref="B39:B50"/>
    <mergeCell ref="J174:K174"/>
    <mergeCell ref="J175:K175"/>
    <mergeCell ref="J169:K169"/>
    <mergeCell ref="J170:K170"/>
    <mergeCell ref="J171:K171"/>
    <mergeCell ref="J172:K172"/>
    <mergeCell ref="J173:K173"/>
    <mergeCell ref="J164:K164"/>
    <mergeCell ref="J165:K165"/>
    <mergeCell ref="J166:K166"/>
    <mergeCell ref="J167:K167"/>
    <mergeCell ref="J168:K168"/>
    <mergeCell ref="J162:K162"/>
    <mergeCell ref="J163:K16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5C74-DEE1-4D88-81FA-4DC8D48F4C4A}">
  <dimension ref="A1:F22"/>
  <sheetViews>
    <sheetView zoomScaleNormal="100" workbookViewId="0">
      <selection activeCell="B24" sqref="B24"/>
    </sheetView>
  </sheetViews>
  <sheetFormatPr defaultRowHeight="13.8" x14ac:dyDescent="0.25"/>
  <cols>
    <col min="1" max="1" width="20.88671875" customWidth="1"/>
    <col min="2" max="2" width="18.77734375" customWidth="1"/>
    <col min="3" max="3" width="15.5546875" style="1" customWidth="1"/>
    <col min="4" max="4" width="8.88671875" style="1"/>
    <col min="5" max="5" width="36.77734375" customWidth="1"/>
    <col min="6" max="6" width="35.33203125" customWidth="1"/>
  </cols>
  <sheetData>
    <row r="1" spans="1:6" ht="20.399999999999999" x14ac:dyDescent="0.25">
      <c r="A1" s="66" t="s">
        <v>209</v>
      </c>
      <c r="B1" s="67"/>
      <c r="C1" s="67"/>
      <c r="D1" s="67"/>
      <c r="E1" s="67"/>
      <c r="F1" s="68"/>
    </row>
    <row r="2" spans="1:6" x14ac:dyDescent="0.25">
      <c r="A2" s="18" t="s">
        <v>182</v>
      </c>
      <c r="B2" s="15" t="s">
        <v>5</v>
      </c>
      <c r="C2" s="16" t="s">
        <v>34</v>
      </c>
      <c r="D2" s="16" t="s">
        <v>118</v>
      </c>
      <c r="E2" s="20" t="s">
        <v>184</v>
      </c>
      <c r="F2" s="19" t="s">
        <v>4</v>
      </c>
    </row>
    <row r="3" spans="1:6" ht="13.8" customHeight="1" x14ac:dyDescent="0.25">
      <c r="A3" s="78" t="s">
        <v>183</v>
      </c>
      <c r="B3" s="6" t="s">
        <v>193</v>
      </c>
      <c r="C3" s="6" t="s">
        <v>16</v>
      </c>
      <c r="D3" s="6">
        <v>1</v>
      </c>
      <c r="E3" s="70" t="s">
        <v>211</v>
      </c>
      <c r="F3" s="73" t="s">
        <v>210</v>
      </c>
    </row>
    <row r="4" spans="1:6" x14ac:dyDescent="0.25">
      <c r="A4" s="79"/>
      <c r="B4" s="6" t="s">
        <v>194</v>
      </c>
      <c r="C4" s="6" t="s">
        <v>16</v>
      </c>
      <c r="D4" s="6">
        <v>1</v>
      </c>
      <c r="E4" s="71"/>
      <c r="F4" s="74"/>
    </row>
    <row r="5" spans="1:6" x14ac:dyDescent="0.25">
      <c r="A5" s="79"/>
      <c r="B5" s="6" t="s">
        <v>195</v>
      </c>
      <c r="C5" s="6" t="s">
        <v>16</v>
      </c>
      <c r="D5" s="6">
        <v>1</v>
      </c>
      <c r="E5" s="71"/>
      <c r="F5" s="74"/>
    </row>
    <row r="6" spans="1:6" x14ac:dyDescent="0.25">
      <c r="A6" s="79"/>
      <c r="B6" s="6" t="s">
        <v>196</v>
      </c>
      <c r="C6" s="6" t="s">
        <v>16</v>
      </c>
      <c r="D6" s="6">
        <v>1</v>
      </c>
      <c r="E6" s="71"/>
      <c r="F6" s="74"/>
    </row>
    <row r="7" spans="1:6" x14ac:dyDescent="0.25">
      <c r="A7" s="79"/>
      <c r="B7" s="6" t="s">
        <v>197</v>
      </c>
      <c r="C7" s="6" t="s">
        <v>16</v>
      </c>
      <c r="D7" s="6">
        <v>1</v>
      </c>
      <c r="E7" s="71"/>
      <c r="F7" s="74"/>
    </row>
    <row r="8" spans="1:6" x14ac:dyDescent="0.25">
      <c r="A8" s="79"/>
      <c r="B8" s="6" t="s">
        <v>198</v>
      </c>
      <c r="C8" s="6" t="s">
        <v>16</v>
      </c>
      <c r="D8" s="6">
        <v>1</v>
      </c>
      <c r="E8" s="71"/>
      <c r="F8" s="74"/>
    </row>
    <row r="9" spans="1:6" x14ac:dyDescent="0.25">
      <c r="A9" s="79"/>
      <c r="B9" s="6" t="s">
        <v>199</v>
      </c>
      <c r="C9" s="6" t="s">
        <v>16</v>
      </c>
      <c r="D9" s="6">
        <v>1</v>
      </c>
      <c r="E9" s="71"/>
      <c r="F9" s="74"/>
    </row>
    <row r="10" spans="1:6" x14ac:dyDescent="0.25">
      <c r="A10" s="80"/>
      <c r="B10" s="8" t="s">
        <v>200</v>
      </c>
      <c r="C10" s="8" t="s">
        <v>16</v>
      </c>
      <c r="D10" s="8">
        <v>1</v>
      </c>
      <c r="E10" s="83"/>
      <c r="F10" s="81"/>
    </row>
    <row r="11" spans="1:6" x14ac:dyDescent="0.25">
      <c r="A11" s="78" t="s">
        <v>185</v>
      </c>
      <c r="B11" s="17" t="s">
        <v>186</v>
      </c>
      <c r="C11" s="3" t="s">
        <v>62</v>
      </c>
      <c r="D11" s="3">
        <v>4</v>
      </c>
      <c r="E11" s="76" t="s">
        <v>213</v>
      </c>
      <c r="F11" s="73" t="s">
        <v>188</v>
      </c>
    </row>
    <row r="12" spans="1:6" x14ac:dyDescent="0.25">
      <c r="A12" s="80"/>
      <c r="B12" s="14" t="s">
        <v>187</v>
      </c>
      <c r="C12" s="8" t="s">
        <v>62</v>
      </c>
      <c r="D12" s="8">
        <v>4</v>
      </c>
      <c r="E12" s="77"/>
      <c r="F12" s="81"/>
    </row>
    <row r="13" spans="1:6" x14ac:dyDescent="0.25">
      <c r="A13" s="78" t="s">
        <v>189</v>
      </c>
      <c r="B13" s="3" t="s">
        <v>191</v>
      </c>
      <c r="C13" s="3" t="s">
        <v>15</v>
      </c>
      <c r="D13" s="3">
        <v>4</v>
      </c>
      <c r="E13" s="76" t="s">
        <v>212</v>
      </c>
      <c r="F13" s="73" t="s">
        <v>188</v>
      </c>
    </row>
    <row r="14" spans="1:6" x14ac:dyDescent="0.25">
      <c r="A14" s="80"/>
      <c r="B14" s="8" t="s">
        <v>192</v>
      </c>
      <c r="C14" s="8" t="s">
        <v>15</v>
      </c>
      <c r="D14" s="8">
        <v>4</v>
      </c>
      <c r="E14" s="77"/>
      <c r="F14" s="81"/>
    </row>
    <row r="15" spans="1:6" x14ac:dyDescent="0.25">
      <c r="A15" s="78" t="s">
        <v>190</v>
      </c>
      <c r="B15" s="3" t="s">
        <v>201</v>
      </c>
      <c r="C15" s="3" t="s">
        <v>16</v>
      </c>
      <c r="D15" s="3">
        <v>1</v>
      </c>
      <c r="E15" s="70" t="s">
        <v>211</v>
      </c>
      <c r="F15" s="73" t="s">
        <v>210</v>
      </c>
    </row>
    <row r="16" spans="1:6" x14ac:dyDescent="0.25">
      <c r="A16" s="79"/>
      <c r="B16" s="6" t="s">
        <v>202</v>
      </c>
      <c r="C16" s="6" t="s">
        <v>16</v>
      </c>
      <c r="D16" s="6">
        <v>1</v>
      </c>
      <c r="E16" s="71"/>
      <c r="F16" s="74"/>
    </row>
    <row r="17" spans="1:6" x14ac:dyDescent="0.25">
      <c r="A17" s="79"/>
      <c r="B17" s="6" t="s">
        <v>203</v>
      </c>
      <c r="C17" s="6" t="s">
        <v>16</v>
      </c>
      <c r="D17" s="6">
        <v>1</v>
      </c>
      <c r="E17" s="71"/>
      <c r="F17" s="74"/>
    </row>
    <row r="18" spans="1:6" x14ac:dyDescent="0.25">
      <c r="A18" s="79"/>
      <c r="B18" s="6" t="s">
        <v>204</v>
      </c>
      <c r="C18" s="6" t="s">
        <v>16</v>
      </c>
      <c r="D18" s="6">
        <v>1</v>
      </c>
      <c r="E18" s="71"/>
      <c r="F18" s="74"/>
    </row>
    <row r="19" spans="1:6" x14ac:dyDescent="0.25">
      <c r="A19" s="79"/>
      <c r="B19" s="6" t="s">
        <v>205</v>
      </c>
      <c r="C19" s="6" t="s">
        <v>16</v>
      </c>
      <c r="D19" s="6">
        <v>1</v>
      </c>
      <c r="E19" s="71"/>
      <c r="F19" s="74"/>
    </row>
    <row r="20" spans="1:6" x14ac:dyDescent="0.25">
      <c r="A20" s="79"/>
      <c r="B20" s="6" t="s">
        <v>206</v>
      </c>
      <c r="C20" s="6" t="s">
        <v>16</v>
      </c>
      <c r="D20" s="6">
        <v>1</v>
      </c>
      <c r="E20" s="71"/>
      <c r="F20" s="74"/>
    </row>
    <row r="21" spans="1:6" x14ac:dyDescent="0.25">
      <c r="A21" s="79"/>
      <c r="B21" s="6" t="s">
        <v>207</v>
      </c>
      <c r="C21" s="6" t="s">
        <v>16</v>
      </c>
      <c r="D21" s="6">
        <v>1</v>
      </c>
      <c r="E21" s="71"/>
      <c r="F21" s="74"/>
    </row>
    <row r="22" spans="1:6" ht="14.4" thickBot="1" x14ac:dyDescent="0.3">
      <c r="A22" s="82"/>
      <c r="B22" s="7" t="s">
        <v>208</v>
      </c>
      <c r="C22" s="7" t="s">
        <v>16</v>
      </c>
      <c r="D22" s="7">
        <v>1</v>
      </c>
      <c r="E22" s="72"/>
      <c r="F22" s="75"/>
    </row>
  </sheetData>
  <mergeCells count="13">
    <mergeCell ref="E15:E22"/>
    <mergeCell ref="F15:F22"/>
    <mergeCell ref="A1:F1"/>
    <mergeCell ref="E11:E12"/>
    <mergeCell ref="A3:A10"/>
    <mergeCell ref="A11:A12"/>
    <mergeCell ref="F11:F12"/>
    <mergeCell ref="A13:A14"/>
    <mergeCell ref="A15:A22"/>
    <mergeCell ref="F13:F14"/>
    <mergeCell ref="E3:E10"/>
    <mergeCell ref="F3:F10"/>
    <mergeCell ref="E13:E1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CF7C-F29F-4E5F-A211-EF64472A6517}">
  <dimension ref="A1:D4"/>
  <sheetViews>
    <sheetView workbookViewId="0">
      <selection activeCell="D42" sqref="D42"/>
    </sheetView>
  </sheetViews>
  <sheetFormatPr defaultRowHeight="13.8" x14ac:dyDescent="0.25"/>
  <cols>
    <col min="1" max="1" width="21" style="1" customWidth="1"/>
    <col min="2" max="2" width="11.21875" style="23" customWidth="1"/>
    <col min="3" max="3" width="24.21875" customWidth="1"/>
    <col min="4" max="4" width="30.109375" customWidth="1"/>
  </cols>
  <sheetData>
    <row r="1" spans="1:4" ht="20.399999999999999" x14ac:dyDescent="0.25">
      <c r="A1" s="66" t="s">
        <v>224</v>
      </c>
      <c r="B1" s="67"/>
      <c r="C1" s="67"/>
      <c r="D1" s="68"/>
    </row>
    <row r="2" spans="1:4" x14ac:dyDescent="0.25">
      <c r="A2" s="4" t="s">
        <v>215</v>
      </c>
      <c r="B2" s="26" t="s">
        <v>218</v>
      </c>
      <c r="C2" s="9" t="s">
        <v>221</v>
      </c>
      <c r="D2" s="5" t="s">
        <v>4</v>
      </c>
    </row>
    <row r="3" spans="1:4" x14ac:dyDescent="0.25">
      <c r="A3" s="10" t="s">
        <v>216</v>
      </c>
      <c r="B3" s="24" t="s">
        <v>219</v>
      </c>
      <c r="C3" s="11" t="s">
        <v>222</v>
      </c>
      <c r="D3" s="21" t="s">
        <v>225</v>
      </c>
    </row>
    <row r="4" spans="1:4" ht="14.4" thickBot="1" x14ac:dyDescent="0.3">
      <c r="A4" s="13" t="s">
        <v>217</v>
      </c>
      <c r="B4" s="25" t="s">
        <v>220</v>
      </c>
      <c r="C4" s="12" t="s">
        <v>223</v>
      </c>
      <c r="D4" s="22" t="s">
        <v>226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History</vt:lpstr>
      <vt:lpstr>SDO</vt:lpstr>
      <vt:lpstr>TPDO DEF</vt:lpstr>
      <vt:lpstr>NMT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zhilong wu</dc:creator>
  <cp:lastModifiedBy>zhilong wu</cp:lastModifiedBy>
  <cp:lastPrinted>2024-05-30T03:12:13Z</cp:lastPrinted>
  <dcterms:created xsi:type="dcterms:W3CDTF">2024-05-29T06:42:34Z</dcterms:created>
  <dcterms:modified xsi:type="dcterms:W3CDTF">2026-10-16T05:40:55Z</dcterms:modified>
</cp:coreProperties>
</file>