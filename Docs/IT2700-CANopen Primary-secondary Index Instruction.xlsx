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AL_NEW\trunk\IT2700\zh-CN\"/>
    </mc:Choice>
  </mc:AlternateContent>
  <xr:revisionPtr revIDLastSave="0" documentId="13_ncr:1_{A2D20D29-5376-4BF8-913A-459708FEAF8D}" xr6:coauthVersionLast="45" xr6:coauthVersionMax="47" xr10:uidLastSave="{00000000-0000-0000-0000-000000000000}"/>
  <bookViews>
    <workbookView xWindow="-120" yWindow="-120" windowWidth="21840" windowHeight="13740" xr2:uid="{CC89ABEA-F7E4-44B7-BA65-DAF4072C610E}"/>
  </bookViews>
  <sheets>
    <sheet name="SDO" sheetId="1" r:id="rId1"/>
    <sheet name="TPDO DEF" sheetId="2" r:id="rId2"/>
    <sheet name="NM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3" i="1"/>
  <c r="I4" i="1"/>
  <c r="I5" i="1"/>
  <c r="I6" i="1"/>
  <c r="I3" i="1"/>
  <c r="J130" i="1"/>
  <c r="J128" i="1"/>
  <c r="J126" i="1"/>
  <c r="C126" i="1"/>
  <c r="I126" i="1" s="1"/>
  <c r="C127" i="1"/>
  <c r="I127" i="1" s="1"/>
  <c r="C128" i="1"/>
  <c r="I128" i="1" s="1"/>
  <c r="C129" i="1"/>
  <c r="C130" i="1"/>
  <c r="I130" i="1" s="1"/>
  <c r="J99" i="1"/>
  <c r="C99" i="1"/>
  <c r="K99" i="1" s="1"/>
  <c r="C83" i="1"/>
  <c r="I83" i="1" s="1"/>
  <c r="C84" i="1"/>
  <c r="K84" i="1" s="1"/>
  <c r="C85" i="1"/>
  <c r="I85" i="1" s="1"/>
  <c r="C86" i="1"/>
  <c r="I86" i="1" s="1"/>
  <c r="J86" i="1"/>
  <c r="J85" i="1"/>
  <c r="J84" i="1"/>
  <c r="J83" i="1"/>
  <c r="J72" i="1"/>
  <c r="J71" i="1"/>
  <c r="J70" i="1"/>
  <c r="J69" i="1"/>
  <c r="J68" i="1"/>
  <c r="J67" i="1"/>
  <c r="J66" i="1"/>
  <c r="J65" i="1"/>
  <c r="J64" i="1"/>
  <c r="C64" i="1"/>
  <c r="K64" i="1" s="1"/>
  <c r="C65" i="1"/>
  <c r="I65" i="1" s="1"/>
  <c r="C66" i="1"/>
  <c r="I66" i="1" s="1"/>
  <c r="C67" i="1"/>
  <c r="I67" i="1" s="1"/>
  <c r="C68" i="1"/>
  <c r="I68" i="1" s="1"/>
  <c r="C69" i="1"/>
  <c r="I69" i="1" s="1"/>
  <c r="C70" i="1"/>
  <c r="I70" i="1" s="1"/>
  <c r="C71" i="1"/>
  <c r="I71" i="1" s="1"/>
  <c r="C72" i="1"/>
  <c r="I72" i="1" s="1"/>
  <c r="J41" i="1"/>
  <c r="J40" i="1"/>
  <c r="J39" i="1"/>
  <c r="J38" i="1"/>
  <c r="J37" i="1"/>
  <c r="J36" i="1"/>
  <c r="J35" i="1"/>
  <c r="J34" i="1"/>
  <c r="J33" i="1"/>
  <c r="C33" i="1"/>
  <c r="K33" i="1" s="1"/>
  <c r="C34" i="1"/>
  <c r="I34" i="1" s="1"/>
  <c r="C35" i="1"/>
  <c r="I35" i="1" s="1"/>
  <c r="C36" i="1"/>
  <c r="I36" i="1" s="1"/>
  <c r="C37" i="1"/>
  <c r="I37" i="1" s="1"/>
  <c r="C38" i="1"/>
  <c r="I38" i="1" s="1"/>
  <c r="C39" i="1"/>
  <c r="I39" i="1" s="1"/>
  <c r="C40" i="1"/>
  <c r="I40" i="1" s="1"/>
  <c r="C41" i="1"/>
  <c r="I41" i="1" s="1"/>
  <c r="J17" i="1"/>
  <c r="L16" i="1"/>
  <c r="L13" i="1"/>
  <c r="J7" i="1"/>
  <c r="J8" i="1"/>
  <c r="J9" i="1"/>
  <c r="J10" i="1"/>
  <c r="J11" i="1"/>
  <c r="J12" i="1"/>
  <c r="J13" i="1"/>
  <c r="J14" i="1"/>
  <c r="J15" i="1"/>
  <c r="J16" i="1"/>
  <c r="J107" i="1"/>
  <c r="J106" i="1"/>
  <c r="C8" i="1"/>
  <c r="K8" i="1" s="1"/>
  <c r="C9" i="1"/>
  <c r="I9" i="1" s="1"/>
  <c r="C10" i="1"/>
  <c r="K10" i="1" s="1"/>
  <c r="C11" i="1"/>
  <c r="I11" i="1" s="1"/>
  <c r="C12" i="1"/>
  <c r="I12" i="1" s="1"/>
  <c r="C13" i="1"/>
  <c r="I13" i="1" s="1"/>
  <c r="C14" i="1"/>
  <c r="I14" i="1" s="1"/>
  <c r="C15" i="1"/>
  <c r="K15" i="1" s="1"/>
  <c r="C16" i="1"/>
  <c r="K16" i="1" s="1"/>
  <c r="C7" i="1"/>
  <c r="I7" i="1" s="1"/>
  <c r="C106" i="1"/>
  <c r="I106" i="1" s="1"/>
  <c r="C107" i="1"/>
  <c r="K107" i="1" s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73" i="1"/>
  <c r="J74" i="1"/>
  <c r="J75" i="1"/>
  <c r="J76" i="1"/>
  <c r="J77" i="1"/>
  <c r="J78" i="1"/>
  <c r="J79" i="1"/>
  <c r="J80" i="1"/>
  <c r="J81" i="1"/>
  <c r="J82" i="1"/>
  <c r="J87" i="1"/>
  <c r="J88" i="1"/>
  <c r="J89" i="1"/>
  <c r="J90" i="1"/>
  <c r="J91" i="1"/>
  <c r="J92" i="1"/>
  <c r="J93" i="1"/>
  <c r="J94" i="1"/>
  <c r="J95" i="1"/>
  <c r="J96" i="1"/>
  <c r="J97" i="1"/>
  <c r="J98" i="1"/>
  <c r="J100" i="1"/>
  <c r="J101" i="1"/>
  <c r="J102" i="1"/>
  <c r="J103" i="1"/>
  <c r="J104" i="1"/>
  <c r="J105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7" i="1"/>
  <c r="J129" i="1"/>
  <c r="J131" i="1"/>
  <c r="J132" i="1"/>
  <c r="J133" i="1"/>
  <c r="K94" i="1"/>
  <c r="I119" i="1"/>
  <c r="I118" i="1"/>
  <c r="I94" i="1"/>
  <c r="C121" i="1"/>
  <c r="I121" i="1" s="1"/>
  <c r="C122" i="1"/>
  <c r="I122" i="1" s="1"/>
  <c r="C123" i="1"/>
  <c r="I123" i="1" s="1"/>
  <c r="C124" i="1"/>
  <c r="I124" i="1" s="1"/>
  <c r="C125" i="1"/>
  <c r="I125" i="1" s="1"/>
  <c r="I129" i="1"/>
  <c r="C131" i="1"/>
  <c r="I131" i="1" s="1"/>
  <c r="C132" i="1"/>
  <c r="I132" i="1" s="1"/>
  <c r="C133" i="1"/>
  <c r="I133" i="1" s="1"/>
  <c r="C120" i="1"/>
  <c r="I120" i="1" s="1"/>
  <c r="C117" i="1"/>
  <c r="I117" i="1" s="1"/>
  <c r="C109" i="1"/>
  <c r="I109" i="1" s="1"/>
  <c r="C110" i="1"/>
  <c r="I110" i="1" s="1"/>
  <c r="C111" i="1"/>
  <c r="I111" i="1" s="1"/>
  <c r="C112" i="1"/>
  <c r="I112" i="1" s="1"/>
  <c r="C113" i="1"/>
  <c r="I113" i="1" s="1"/>
  <c r="C114" i="1"/>
  <c r="I114" i="1" s="1"/>
  <c r="C115" i="1"/>
  <c r="I115" i="1" s="1"/>
  <c r="C116" i="1"/>
  <c r="I116" i="1" s="1"/>
  <c r="C108" i="1"/>
  <c r="I108" i="1" s="1"/>
  <c r="C104" i="1"/>
  <c r="I104" i="1" s="1"/>
  <c r="C100" i="1"/>
  <c r="I100" i="1" s="1"/>
  <c r="C101" i="1"/>
  <c r="I101" i="1" s="1"/>
  <c r="C102" i="1"/>
  <c r="I102" i="1" s="1"/>
  <c r="C103" i="1"/>
  <c r="I103" i="1" s="1"/>
  <c r="C105" i="1"/>
  <c r="I105" i="1" s="1"/>
  <c r="C98" i="1"/>
  <c r="I98" i="1" s="1"/>
  <c r="C96" i="1"/>
  <c r="I96" i="1" s="1"/>
  <c r="C97" i="1"/>
  <c r="I97" i="1" s="1"/>
  <c r="C95" i="1"/>
  <c r="I95" i="1" s="1"/>
  <c r="C88" i="1"/>
  <c r="I88" i="1" s="1"/>
  <c r="C89" i="1"/>
  <c r="I89" i="1" s="1"/>
  <c r="C90" i="1"/>
  <c r="I90" i="1" s="1"/>
  <c r="C91" i="1"/>
  <c r="I91" i="1" s="1"/>
  <c r="C92" i="1"/>
  <c r="I92" i="1" s="1"/>
  <c r="C93" i="1"/>
  <c r="I93" i="1" s="1"/>
  <c r="C87" i="1"/>
  <c r="I87" i="1" s="1"/>
  <c r="C18" i="1"/>
  <c r="I18" i="1" s="1"/>
  <c r="C19" i="1"/>
  <c r="I19" i="1" s="1"/>
  <c r="C20" i="1"/>
  <c r="I20" i="1" s="1"/>
  <c r="C21" i="1"/>
  <c r="I21" i="1" s="1"/>
  <c r="C22" i="1"/>
  <c r="I22" i="1" s="1"/>
  <c r="C23" i="1"/>
  <c r="I23" i="1" s="1"/>
  <c r="C24" i="1"/>
  <c r="I24" i="1" s="1"/>
  <c r="C25" i="1"/>
  <c r="I25" i="1" s="1"/>
  <c r="C26" i="1"/>
  <c r="I26" i="1" s="1"/>
  <c r="C27" i="1"/>
  <c r="I27" i="1" s="1"/>
  <c r="C28" i="1"/>
  <c r="I28" i="1" s="1"/>
  <c r="C29" i="1"/>
  <c r="I29" i="1" s="1"/>
  <c r="C30" i="1"/>
  <c r="I30" i="1" s="1"/>
  <c r="C31" i="1"/>
  <c r="I31" i="1" s="1"/>
  <c r="C32" i="1"/>
  <c r="I32" i="1" s="1"/>
  <c r="C17" i="1"/>
  <c r="I17" i="1" s="1"/>
  <c r="C74" i="1"/>
  <c r="I74" i="1" s="1"/>
  <c r="C75" i="1"/>
  <c r="I75" i="1" s="1"/>
  <c r="C76" i="1"/>
  <c r="I76" i="1" s="1"/>
  <c r="C77" i="1"/>
  <c r="I77" i="1" s="1"/>
  <c r="C78" i="1"/>
  <c r="I78" i="1" s="1"/>
  <c r="C79" i="1"/>
  <c r="I79" i="1" s="1"/>
  <c r="C80" i="1"/>
  <c r="I80" i="1" s="1"/>
  <c r="C81" i="1"/>
  <c r="I81" i="1" s="1"/>
  <c r="C82" i="1"/>
  <c r="I82" i="1" s="1"/>
  <c r="C73" i="1"/>
  <c r="I73" i="1" s="1"/>
  <c r="C43" i="1"/>
  <c r="I43" i="1" s="1"/>
  <c r="C44" i="1"/>
  <c r="I44" i="1" s="1"/>
  <c r="C45" i="1"/>
  <c r="I45" i="1" s="1"/>
  <c r="C46" i="1"/>
  <c r="I46" i="1" s="1"/>
  <c r="C47" i="1"/>
  <c r="I47" i="1" s="1"/>
  <c r="C48" i="1"/>
  <c r="I48" i="1" s="1"/>
  <c r="C49" i="1"/>
  <c r="I49" i="1" s="1"/>
  <c r="C50" i="1"/>
  <c r="I50" i="1" s="1"/>
  <c r="C51" i="1"/>
  <c r="I51" i="1" s="1"/>
  <c r="C52" i="1"/>
  <c r="I52" i="1" s="1"/>
  <c r="C53" i="1"/>
  <c r="I53" i="1" s="1"/>
  <c r="C54" i="1"/>
  <c r="I54" i="1" s="1"/>
  <c r="C55" i="1"/>
  <c r="I55" i="1" s="1"/>
  <c r="C56" i="1"/>
  <c r="I56" i="1" s="1"/>
  <c r="C57" i="1"/>
  <c r="I57" i="1" s="1"/>
  <c r="C58" i="1"/>
  <c r="I58" i="1" s="1"/>
  <c r="C59" i="1"/>
  <c r="I59" i="1" s="1"/>
  <c r="C60" i="1"/>
  <c r="I60" i="1" s="1"/>
  <c r="C61" i="1"/>
  <c r="I61" i="1" s="1"/>
  <c r="C62" i="1"/>
  <c r="I62" i="1" s="1"/>
  <c r="C63" i="1"/>
  <c r="I63" i="1" s="1"/>
  <c r="C42" i="1"/>
  <c r="I42" i="1" s="1"/>
  <c r="I99" i="1" l="1"/>
  <c r="K38" i="1"/>
  <c r="K67" i="1"/>
  <c r="I33" i="1"/>
  <c r="K71" i="1"/>
  <c r="K34" i="1"/>
  <c r="I84" i="1"/>
  <c r="K85" i="1"/>
  <c r="K36" i="1"/>
  <c r="K40" i="1"/>
  <c r="I64" i="1"/>
  <c r="K69" i="1"/>
  <c r="K83" i="1"/>
  <c r="K65" i="1"/>
  <c r="K37" i="1"/>
  <c r="K41" i="1"/>
  <c r="K66" i="1"/>
  <c r="K70" i="1"/>
  <c r="K35" i="1"/>
  <c r="K39" i="1"/>
  <c r="K68" i="1"/>
  <c r="K72" i="1"/>
  <c r="K86" i="1"/>
  <c r="I107" i="1"/>
  <c r="I10" i="1"/>
  <c r="K11" i="1"/>
  <c r="K106" i="1"/>
  <c r="K9" i="1"/>
  <c r="I15" i="1"/>
  <c r="K7" i="1"/>
  <c r="K14" i="1"/>
  <c r="K13" i="1"/>
  <c r="I16" i="1"/>
  <c r="I8" i="1"/>
  <c r="K12" i="1"/>
  <c r="K32" i="1"/>
  <c r="K24" i="1"/>
  <c r="K103" i="1"/>
  <c r="K63" i="1"/>
  <c r="K114" i="1"/>
  <c r="K54" i="1"/>
  <c r="K46" i="1"/>
  <c r="K79" i="1"/>
  <c r="K87" i="1"/>
  <c r="K88" i="1"/>
  <c r="K28" i="1"/>
  <c r="K20" i="1"/>
  <c r="K59" i="1"/>
  <c r="K50" i="1"/>
  <c r="K73" i="1"/>
  <c r="K77" i="1"/>
  <c r="K92" i="1"/>
  <c r="K96" i="1"/>
  <c r="K108" i="1"/>
  <c r="K110" i="1"/>
  <c r="K27" i="1"/>
  <c r="K19" i="1"/>
  <c r="K58" i="1"/>
  <c r="K49" i="1"/>
  <c r="K82" i="1"/>
  <c r="K76" i="1"/>
  <c r="K91" i="1"/>
  <c r="K98" i="1"/>
  <c r="K117" i="1"/>
  <c r="K109" i="1"/>
  <c r="K26" i="1"/>
  <c r="K18" i="1"/>
  <c r="K57" i="1"/>
  <c r="K48" i="1"/>
  <c r="K81" i="1"/>
  <c r="K75" i="1"/>
  <c r="K90" i="1"/>
  <c r="K105" i="1"/>
  <c r="K116" i="1"/>
  <c r="K17" i="1"/>
  <c r="K25" i="1"/>
  <c r="K42" i="1"/>
  <c r="K56" i="1"/>
  <c r="K47" i="1"/>
  <c r="K80" i="1"/>
  <c r="K74" i="1"/>
  <c r="K89" i="1"/>
  <c r="K104" i="1"/>
  <c r="K115" i="1"/>
  <c r="K31" i="1"/>
  <c r="K23" i="1"/>
  <c r="K62" i="1"/>
  <c r="K53" i="1"/>
  <c r="K45" i="1"/>
  <c r="K78" i="1"/>
  <c r="K102" i="1"/>
  <c r="K113" i="1"/>
  <c r="K30" i="1"/>
  <c r="K22" i="1"/>
  <c r="K61" i="1"/>
  <c r="K52" i="1"/>
  <c r="K44" i="1"/>
  <c r="K95" i="1"/>
  <c r="K101" i="1"/>
  <c r="K112" i="1"/>
  <c r="K29" i="1"/>
  <c r="K21" i="1"/>
  <c r="K60" i="1"/>
  <c r="K51" i="1"/>
  <c r="K43" i="1"/>
  <c r="K93" i="1"/>
  <c r="K97" i="1"/>
  <c r="K100" i="1"/>
  <c r="K111" i="1"/>
  <c r="K55" i="1"/>
</calcChain>
</file>

<file path=xl/sharedStrings.xml><?xml version="1.0" encoding="utf-8"?>
<sst xmlns="http://schemas.openxmlformats.org/spreadsheetml/2006/main" count="706" uniqueCount="242">
  <si>
    <t>Object Index</t>
    <phoneticPr fontId="1" type="noConversion"/>
  </si>
  <si>
    <t>Object Sub-index</t>
    <phoneticPr fontId="1" type="noConversion"/>
  </si>
  <si>
    <t>0x01</t>
    <phoneticPr fontId="1" type="noConversion"/>
  </si>
  <si>
    <t>Object Name</t>
    <phoneticPr fontId="1" type="noConversion"/>
  </si>
  <si>
    <t>Note</t>
    <phoneticPr fontId="1" type="noConversion"/>
  </si>
  <si>
    <t>Function</t>
    <phoneticPr fontId="1" type="noConversion"/>
  </si>
  <si>
    <t>Current</t>
    <phoneticPr fontId="1" type="noConversion"/>
  </si>
  <si>
    <t>Current triggred</t>
    <phoneticPr fontId="1" type="noConversion"/>
  </si>
  <si>
    <t>Current mode</t>
    <phoneticPr fontId="1" type="noConversion"/>
  </si>
  <si>
    <t>Current range</t>
    <phoneticPr fontId="1" type="noConversion"/>
  </si>
  <si>
    <t>Current slew negative</t>
  </si>
  <si>
    <t>Current level</t>
    <phoneticPr fontId="1" type="noConversion"/>
  </si>
  <si>
    <t>Current slew couple</t>
    <phoneticPr fontId="1" type="noConversion"/>
  </si>
  <si>
    <t>Current slew negative max</t>
    <phoneticPr fontId="1" type="noConversion"/>
  </si>
  <si>
    <t>Sink res state</t>
    <phoneticPr fontId="1" type="noConversion"/>
  </si>
  <si>
    <t>float</t>
    <phoneticPr fontId="1" type="noConversion"/>
  </si>
  <si>
    <t>char</t>
    <phoneticPr fontId="1" type="noConversion"/>
  </si>
  <si>
    <t>Source voltage</t>
    <phoneticPr fontId="1" type="noConversion"/>
  </si>
  <si>
    <t>Voltage level</t>
    <phoneticPr fontId="1" type="noConversion"/>
  </si>
  <si>
    <t>Voltage limit couple</t>
    <phoneticPr fontId="1" type="noConversion"/>
  </si>
  <si>
    <t>Voltage</t>
    <phoneticPr fontId="1" type="noConversion"/>
  </si>
  <si>
    <t>Voltage high</t>
    <phoneticPr fontId="1" type="noConversion"/>
  </si>
  <si>
    <t>Voltage low</t>
    <phoneticPr fontId="1" type="noConversion"/>
  </si>
  <si>
    <t>Voltage mode</t>
    <phoneticPr fontId="1" type="noConversion"/>
  </si>
  <si>
    <t>Voltage range</t>
    <phoneticPr fontId="1" type="noConversion"/>
  </si>
  <si>
    <t>Voltage slew couple</t>
    <phoneticPr fontId="1" type="noConversion"/>
  </si>
  <si>
    <t>Voltage slew negative max</t>
    <phoneticPr fontId="1" type="noConversion"/>
  </si>
  <si>
    <t>inter resistance state</t>
    <phoneticPr fontId="1" type="noConversion"/>
  </si>
  <si>
    <t>inter resistance level</t>
    <phoneticPr fontId="1" type="noConversion"/>
  </si>
  <si>
    <t>Sink res level</t>
    <phoneticPr fontId="1" type="noConversion"/>
  </si>
  <si>
    <t>bsim_level</t>
    <phoneticPr fontId="1" type="noConversion"/>
  </si>
  <si>
    <t>inhibit mode</t>
    <phoneticPr fontId="1" type="noConversion"/>
  </si>
  <si>
    <t>inhibit von</t>
    <phoneticPr fontId="1" type="noConversion"/>
  </si>
  <si>
    <t>inhibit voff</t>
    <phoneticPr fontId="1" type="noConversion"/>
  </si>
  <si>
    <t>Data Format</t>
    <phoneticPr fontId="1" type="noConversion"/>
  </si>
  <si>
    <t>Source power</t>
    <phoneticPr fontId="1" type="noConversion"/>
  </si>
  <si>
    <t>Power level</t>
    <phoneticPr fontId="1" type="noConversion"/>
  </si>
  <si>
    <t>Power triggred</t>
    <phoneticPr fontId="1" type="noConversion"/>
  </si>
  <si>
    <t>Voltage triggred</t>
    <phoneticPr fontId="1" type="noConversion"/>
  </si>
  <si>
    <t>Power limit couple</t>
    <phoneticPr fontId="1" type="noConversion"/>
  </si>
  <si>
    <t>Power slew couple</t>
    <phoneticPr fontId="1" type="noConversion"/>
  </si>
  <si>
    <t>Power slew negative max</t>
    <phoneticPr fontId="1" type="noConversion"/>
  </si>
  <si>
    <t>Current slew positive</t>
  </si>
  <si>
    <t>Current slew time positive</t>
  </si>
  <si>
    <t>Voltage slew time positive</t>
  </si>
  <si>
    <t>Power slew positive</t>
  </si>
  <si>
    <t>Current slew time negative</t>
  </si>
  <si>
    <t>Voltage slew negative</t>
  </si>
  <si>
    <t>Voltage slew time negative</t>
  </si>
  <si>
    <t>Power slew negative</t>
  </si>
  <si>
    <t>Voltage slew positive</t>
    <phoneticPr fontId="1" type="noConversion"/>
  </si>
  <si>
    <t>Voltage slew positive max</t>
    <phoneticPr fontId="1" type="noConversion"/>
  </si>
  <si>
    <t>Current slew  positive max</t>
    <phoneticPr fontId="1" type="noConversion"/>
  </si>
  <si>
    <t>Current limit  positive</t>
    <phoneticPr fontId="1" type="noConversion"/>
  </si>
  <si>
    <t>Current limit negative</t>
    <phoneticPr fontId="1" type="noConversion"/>
  </si>
  <si>
    <t>Voltage limit positive</t>
    <phoneticPr fontId="1" type="noConversion"/>
  </si>
  <si>
    <t>Voltage limit negative</t>
    <phoneticPr fontId="1" type="noConversion"/>
  </si>
  <si>
    <t>Power limit positive</t>
    <phoneticPr fontId="1" type="noConversion"/>
  </si>
  <si>
    <t>Power limit negative</t>
    <phoneticPr fontId="1" type="noConversion"/>
  </si>
  <si>
    <t>Power slew positive max</t>
    <phoneticPr fontId="1" type="noConversion"/>
  </si>
  <si>
    <t>int</t>
    <phoneticPr fontId="1" type="noConversion"/>
  </si>
  <si>
    <t>Source resistance</t>
    <phoneticPr fontId="1" type="noConversion"/>
  </si>
  <si>
    <t>Resistance level</t>
    <phoneticPr fontId="1" type="noConversion"/>
  </si>
  <si>
    <t>Resistance triggred</t>
    <phoneticPr fontId="1" type="noConversion"/>
  </si>
  <si>
    <t>Resistance slew positive</t>
    <phoneticPr fontId="1" type="noConversion"/>
  </si>
  <si>
    <t>Resistance slew negative</t>
    <phoneticPr fontId="1" type="noConversion"/>
  </si>
  <si>
    <t>Resistance couple</t>
    <phoneticPr fontId="1" type="noConversion"/>
  </si>
  <si>
    <t>Resistance slew positive max</t>
    <phoneticPr fontId="1" type="noConversion"/>
  </si>
  <si>
    <t>Resistance slew negative max</t>
    <phoneticPr fontId="1" type="noConversion"/>
  </si>
  <si>
    <t>Source function</t>
    <phoneticPr fontId="1" type="noConversion"/>
  </si>
  <si>
    <t>Source file</t>
    <phoneticPr fontId="1" type="noConversion"/>
  </si>
  <si>
    <t>Save bank</t>
    <phoneticPr fontId="1" type="noConversion"/>
  </si>
  <si>
    <t>Recall bank</t>
    <phoneticPr fontId="1" type="noConversion"/>
  </si>
  <si>
    <t>Delete banck</t>
    <phoneticPr fontId="1" type="noConversion"/>
  </si>
  <si>
    <t>Output</t>
    <phoneticPr fontId="1" type="noConversion"/>
  </si>
  <si>
    <t>Sense</t>
    <phoneticPr fontId="1" type="noConversion"/>
  </si>
  <si>
    <t>Onoff state</t>
    <phoneticPr fontId="1" type="noConversion"/>
  </si>
  <si>
    <t>Short mode</t>
    <phoneticPr fontId="1" type="noConversion"/>
  </si>
  <si>
    <t>Rise delay</t>
    <phoneticPr fontId="1" type="noConversion"/>
  </si>
  <si>
    <t>Fall delay</t>
    <phoneticPr fontId="1" type="noConversion"/>
  </si>
  <si>
    <t>Regular speed</t>
    <phoneticPr fontId="1" type="noConversion"/>
  </si>
  <si>
    <t>Voltage return zero level</t>
    <phoneticPr fontId="1" type="noConversion"/>
  </si>
  <si>
    <t>Relay lock state</t>
    <phoneticPr fontId="1" type="noConversion"/>
  </si>
  <si>
    <t>Sense state</t>
    <phoneticPr fontId="1" type="noConversion"/>
  </si>
  <si>
    <t>Sense current range</t>
    <phoneticPr fontId="1" type="noConversion"/>
  </si>
  <si>
    <t>Sense current auto range</t>
    <phoneticPr fontId="1" type="noConversion"/>
  </si>
  <si>
    <t>Sense voltage range</t>
    <phoneticPr fontId="1" type="noConversion"/>
  </si>
  <si>
    <t>Sense voltage auto range</t>
    <phoneticPr fontId="1" type="noConversion"/>
  </si>
  <si>
    <t>Sense sweep points</t>
    <phoneticPr fontId="1" type="noConversion"/>
  </si>
  <si>
    <t>Sense sweep offset points</t>
    <phoneticPr fontId="1" type="noConversion"/>
  </si>
  <si>
    <t>Sense time interval</t>
    <phoneticPr fontId="1" type="noConversion"/>
  </si>
  <si>
    <t>Sense aperture</t>
    <phoneticPr fontId="1" type="noConversion"/>
  </si>
  <si>
    <t>Sense nplc</t>
    <phoneticPr fontId="1" type="noConversion"/>
  </si>
  <si>
    <t>Status</t>
    <phoneticPr fontId="1" type="noConversion"/>
  </si>
  <si>
    <t>0x02</t>
    <phoneticPr fontId="1" type="noConversion"/>
  </si>
  <si>
    <t>Operation register</t>
    <phoneticPr fontId="1" type="noConversion"/>
  </si>
  <si>
    <t>Questionable register</t>
    <phoneticPr fontId="1" type="noConversion"/>
  </si>
  <si>
    <t>Meter</t>
    <phoneticPr fontId="1" type="noConversion"/>
  </si>
  <si>
    <t>Power</t>
    <phoneticPr fontId="1" type="noConversion"/>
  </si>
  <si>
    <t>Current acdc</t>
    <phoneticPr fontId="1" type="noConversion"/>
  </si>
  <si>
    <t>Voltage acdc</t>
    <phoneticPr fontId="1" type="noConversion"/>
  </si>
  <si>
    <t>Current max</t>
    <phoneticPr fontId="1" type="noConversion"/>
  </si>
  <si>
    <t>Voltage max</t>
    <phoneticPr fontId="1" type="noConversion"/>
  </si>
  <si>
    <t>Power max</t>
    <phoneticPr fontId="1" type="noConversion"/>
  </si>
  <si>
    <t>Ahour</t>
    <phoneticPr fontId="1" type="noConversion"/>
  </si>
  <si>
    <t>Whour</t>
    <phoneticPr fontId="1" type="noConversion"/>
  </si>
  <si>
    <t>On Time</t>
    <phoneticPr fontId="1" type="noConversion"/>
  </si>
  <si>
    <t>Available models</t>
    <phoneticPr fontId="1" type="noConversion"/>
  </si>
  <si>
    <t>ALL</t>
    <phoneticPr fontId="1" type="noConversion"/>
  </si>
  <si>
    <t>PS2Q</t>
    <phoneticPr fontId="1" type="noConversion"/>
  </si>
  <si>
    <t>PS2Q,SMU</t>
    <phoneticPr fontId="1" type="noConversion"/>
  </si>
  <si>
    <t>SMU</t>
    <phoneticPr fontId="1" type="noConversion"/>
  </si>
  <si>
    <t>PS2Q,PS1Q,SMU</t>
    <phoneticPr fontId="1" type="noConversion"/>
  </si>
  <si>
    <t>LD1Q</t>
    <phoneticPr fontId="1" type="noConversion"/>
  </si>
  <si>
    <t xml:space="preserve"> Download Request Example(HEX)</t>
    <phoneticPr fontId="1" type="noConversion"/>
  </si>
  <si>
    <t>Upload Request  Example(HEX)</t>
    <phoneticPr fontId="1" type="noConversion"/>
  </si>
  <si>
    <t>Bytes</t>
    <phoneticPr fontId="1" type="noConversion"/>
  </si>
  <si>
    <t>Current limit couple</t>
    <phoneticPr fontId="1" type="noConversion"/>
  </si>
  <si>
    <t>RO</t>
    <phoneticPr fontId="1" type="noConversion"/>
  </si>
  <si>
    <t>0:Off 1:live 2:latching</t>
    <phoneticPr fontId="1" type="noConversion"/>
  </si>
  <si>
    <t xml:space="preserve">0:current 1:voltage
2:power 3:resistance
4:CC_CV 5:CP_CV
6:CR_CV 7:CC_CR
8:CC_CR_CP_CV
9:BSIM
</t>
    <phoneticPr fontId="1" type="noConversion"/>
  </si>
  <si>
    <t>0:Off 1:On</t>
    <phoneticPr fontId="1" type="noConversion"/>
  </si>
  <si>
    <t>0:Low 1:high1 2:high2 3:high3</t>
    <phoneticPr fontId="1" type="noConversion"/>
  </si>
  <si>
    <t xml:space="preserve">Source current
</t>
    <phoneticPr fontId="1" type="noConversion"/>
  </si>
  <si>
    <t>Access</t>
    <phoneticPr fontId="1" type="noConversion"/>
  </si>
  <si>
    <t>RW</t>
    <phoneticPr fontId="1" type="noConversion"/>
  </si>
  <si>
    <t>0x3002
[+(channel-1)*0x100]
CH1:0x3002
CH2:0x3102
CH3:0x3202
CH4:0x3302
CH5:0x3402
CH6:0x3502
CH7:0x3602
CH8:0x3702</t>
    <phoneticPr fontId="1" type="noConversion"/>
  </si>
  <si>
    <t>0x3003
[+(channel-1)*0x100]
CH1:0x3003
CH2:0x3103
CH3:0x3203
CH4:0x3303
CH5:0x3403
CH6:0x3503
CH7:0x3603
CH8:0x3703</t>
    <phoneticPr fontId="1" type="noConversion"/>
  </si>
  <si>
    <t>0x3004
[+(channel-1)*0x100]
CH1:0x3004
CH2:0x3104
CH3:0x3204
CH4:0x3304
CH5:0x3404
CH6:0x3504
CH7:0x3604
CH8:0x3704</t>
    <phoneticPr fontId="1" type="noConversion"/>
  </si>
  <si>
    <t>0x3005
[+(channel-1)*0x100]
CH1:0x3005
CH2:0x3105
CH3:0x3205
CH4:0x3305
CH5:0x3405
CH6:0x3505
CH7:0x3605
CH8:0x3705</t>
    <phoneticPr fontId="1" type="noConversion"/>
  </si>
  <si>
    <t>0x3006
[+(channel-1)*0x100]
CH1:0x3006
CH2:0x3106
CH3:0x3206
CH4:0x3306
CH5:0x3406
CH6:0x3506
CH7:0x3606
CH8:0x3706</t>
    <phoneticPr fontId="1" type="noConversion"/>
  </si>
  <si>
    <t>0x3007
[+(channel-1)*0x100]
CH1:0x3007
CH2:0x3107
CH3:0x3207
CH4:0x3307
CH5:0x3407
CH6:0x3507
CH7:0x3607
CH8:0x3707</t>
    <phoneticPr fontId="1" type="noConversion"/>
  </si>
  <si>
    <t>0x3008
[+(channel-1)*0x100]
CH1:0x3008
CH2:0x3108
CH3:0x3208
CH4:0x3308
CH5:0x3408
CH6:0x3508
CH7:0x3608
CH8:0x3708</t>
    <phoneticPr fontId="1" type="noConversion"/>
  </si>
  <si>
    <t>0x3009
[+(channel-1)*0x100]
CH1:0x3009
CH2:0x3109
CH3:0x3209
CH4:0x3309
CH5:0x3409
CH6:0x3509
CH7:0x3609
CH8:0x3709</t>
    <phoneticPr fontId="1" type="noConversion"/>
  </si>
  <si>
    <t>0x30A
[+(channel-1)*0x100]
CH1:0x300A
CH2:0x310A
CH3:0x320A
CH4:0x330A
CH5:0x340A
CH6:0x350A
CH7:0x360A
CH8:0x370A</t>
    <phoneticPr fontId="1" type="noConversion"/>
  </si>
  <si>
    <t>0x300B
[+(channel-1)*0x100]
CH1:0x300B
CH2:0x310B
CH3:0x320B
CH4:0x330B
CH5:0x340B
CH6:0x350B
CH7:0x360B
CH8:0x370B</t>
    <phoneticPr fontId="1" type="noConversion"/>
  </si>
  <si>
    <t>0x3001</t>
    <phoneticPr fontId="1" type="noConversion"/>
  </si>
  <si>
    <t>Reset</t>
    <phoneticPr fontId="1" type="noConversion"/>
  </si>
  <si>
    <t>Power on mode</t>
    <phoneticPr fontId="1" type="noConversion"/>
  </si>
  <si>
    <t>Source slope type</t>
    <phoneticPr fontId="1" type="noConversion"/>
  </si>
  <si>
    <t>Load current symbol</t>
    <phoneticPr fontId="1" type="noConversion"/>
  </si>
  <si>
    <t>Output couple</t>
    <phoneticPr fontId="1" type="noConversion"/>
  </si>
  <si>
    <t>Output couple mode</t>
    <phoneticPr fontId="1" type="noConversion"/>
  </si>
  <si>
    <t>Output couple offset</t>
    <phoneticPr fontId="1" type="noConversion"/>
  </si>
  <si>
    <t>Inhibit couple</t>
    <phoneticPr fontId="1" type="noConversion"/>
  </si>
  <si>
    <t>Inhibit couple moe</t>
    <phoneticPr fontId="1" type="noConversion"/>
  </si>
  <si>
    <t>Protection couple</t>
    <phoneticPr fontId="1" type="noConversion"/>
  </si>
  <si>
    <t>Foldback mode</t>
    <phoneticPr fontId="1" type="noConversion"/>
  </si>
  <si>
    <t>Foldback delay</t>
    <phoneticPr fontId="1" type="noConversion"/>
  </si>
  <si>
    <t>0:Off 1:CV 2:CC</t>
    <phoneticPr fontId="1" type="noConversion"/>
  </si>
  <si>
    <t>Common</t>
    <phoneticPr fontId="1" type="noConversion"/>
  </si>
  <si>
    <t>0:Reset 1:Last 2:Last+off</t>
    <phoneticPr fontId="1" type="noConversion"/>
  </si>
  <si>
    <t>0:Rate 1:Time</t>
    <phoneticPr fontId="1" type="noConversion"/>
  </si>
  <si>
    <t>0:+ 1:-</t>
    <phoneticPr fontId="1" type="noConversion"/>
  </si>
  <si>
    <t>bit[0-7]:channel 0-7</t>
    <phoneticPr fontId="1" type="noConversion"/>
  </si>
  <si>
    <t>0:Auto 1:Manual</t>
    <phoneticPr fontId="1" type="noConversion"/>
  </si>
  <si>
    <t>0:Latching 1:Live 2:Off</t>
    <phoneticPr fontId="1" type="noConversion"/>
  </si>
  <si>
    <t>Over current protect state</t>
    <phoneticPr fontId="1" type="noConversion"/>
  </si>
  <si>
    <t>Over current protect negative</t>
    <phoneticPr fontId="1" type="noConversion"/>
  </si>
  <si>
    <t>Over current protect positive</t>
    <phoneticPr fontId="1" type="noConversion"/>
  </si>
  <si>
    <t>Over current protect delay</t>
    <phoneticPr fontId="1" type="noConversion"/>
  </si>
  <si>
    <t>Under current protect state</t>
    <phoneticPr fontId="1" type="noConversion"/>
  </si>
  <si>
    <t>Under current protect positive</t>
    <phoneticPr fontId="1" type="noConversion"/>
  </si>
  <si>
    <t>Under current protect negative</t>
    <phoneticPr fontId="1" type="noConversion"/>
  </si>
  <si>
    <t>Under current protect delay</t>
    <phoneticPr fontId="1" type="noConversion"/>
  </si>
  <si>
    <t>Under current protect warm</t>
    <phoneticPr fontId="1" type="noConversion"/>
  </si>
  <si>
    <t>Over voltage protecton state</t>
    <phoneticPr fontId="1" type="noConversion"/>
  </si>
  <si>
    <t>Over voltage protecton positive</t>
    <phoneticPr fontId="1" type="noConversion"/>
  </si>
  <si>
    <t>Over voltage protecton negative</t>
    <phoneticPr fontId="1" type="noConversion"/>
  </si>
  <si>
    <t>Over voltage protecton delay</t>
    <phoneticPr fontId="1" type="noConversion"/>
  </si>
  <si>
    <t>Under voltage protection state</t>
    <phoneticPr fontId="1" type="noConversion"/>
  </si>
  <si>
    <t>Under voltage protection positive</t>
    <phoneticPr fontId="1" type="noConversion"/>
  </si>
  <si>
    <t>Under voltage protection negative</t>
    <phoneticPr fontId="1" type="noConversion"/>
  </si>
  <si>
    <t>Under voltage protection delay</t>
    <phoneticPr fontId="1" type="noConversion"/>
  </si>
  <si>
    <t>Under voltage protection warm</t>
    <phoneticPr fontId="1" type="noConversion"/>
  </si>
  <si>
    <t>Over power protect state</t>
    <phoneticPr fontId="1" type="noConversion"/>
  </si>
  <si>
    <t>Over power protect positive</t>
    <phoneticPr fontId="1" type="noConversion"/>
  </si>
  <si>
    <t>Over power protect negative</t>
    <phoneticPr fontId="1" type="noConversion"/>
  </si>
  <si>
    <t>Over power protect delay</t>
    <phoneticPr fontId="1" type="noConversion"/>
  </si>
  <si>
    <t>bit0:OV,bit1:OC,bit2:OP,bit4:UV,
bit5:UC,bit6:Rvs,bit7:Errsense,bit8:OT,
bit9:PCP,bit10:FOLDBACK,bit11:WDOG,bit12:LIVING,
bit13:LATCH,bit14:PF,bit15:MF,</t>
    <phoneticPr fontId="1" type="noConversion"/>
  </si>
  <si>
    <t>bit0:ACQ-WTG,bit1:TRAN-WTG,bit2:DLOG-WTG,
bit3:ACQ-Active,bit4:TRAN-Active,bit5:DLOG- Active,
bit6:OFF,bit7:CC,bit8:CV,bit9:CW,bit10:CR,
bit11:CC-,bit12:CP-</t>
    <phoneticPr fontId="1" type="noConversion"/>
  </si>
  <si>
    <t xml:space="preserve">Protect Clear </t>
    <phoneticPr fontId="1" type="noConversion"/>
  </si>
  <si>
    <t>Current min</t>
    <phoneticPr fontId="1" type="noConversion"/>
  </si>
  <si>
    <t>Voltage min</t>
    <phoneticPr fontId="1" type="noConversion"/>
  </si>
  <si>
    <t>Power min</t>
    <phoneticPr fontId="1" type="noConversion"/>
  </si>
  <si>
    <t>PDO Object</t>
    <phoneticPr fontId="1" type="noConversion"/>
  </si>
  <si>
    <t>TPDO1
(0x180+ID)</t>
    <phoneticPr fontId="1" type="noConversion"/>
  </si>
  <si>
    <t>TPDO Data Example(HEX)</t>
    <phoneticPr fontId="1" type="noConversion"/>
  </si>
  <si>
    <t>TPDO2
(0x280+ID)</t>
    <phoneticPr fontId="1" type="noConversion"/>
  </si>
  <si>
    <t>Operation register</t>
  </si>
  <si>
    <t>Questionable register</t>
  </si>
  <si>
    <t>Default only links channel 1</t>
    <phoneticPr fontId="1" type="noConversion"/>
  </si>
  <si>
    <t>TPDO3
(0x380+ID)</t>
    <phoneticPr fontId="1" type="noConversion"/>
  </si>
  <si>
    <t>TPDO4
(0x480+ID)</t>
    <phoneticPr fontId="1" type="noConversion"/>
  </si>
  <si>
    <t>Meter voltage</t>
    <phoneticPr fontId="1" type="noConversion"/>
  </si>
  <si>
    <t>Meter current</t>
    <phoneticPr fontId="1" type="noConversion"/>
  </si>
  <si>
    <t>Channel1 onoff</t>
    <phoneticPr fontId="1" type="noConversion"/>
  </si>
  <si>
    <t>Channel2 onoff</t>
    <phoneticPr fontId="1" type="noConversion"/>
  </si>
  <si>
    <t>Channel3 onoff</t>
    <phoneticPr fontId="1" type="noConversion"/>
  </si>
  <si>
    <t>Channel4 onoff</t>
    <phoneticPr fontId="1" type="noConversion"/>
  </si>
  <si>
    <t>Channel5 onoff</t>
    <phoneticPr fontId="1" type="noConversion"/>
  </si>
  <si>
    <t>Channel6 onoff</t>
    <phoneticPr fontId="1" type="noConversion"/>
  </si>
  <si>
    <t>Channel7 onoff</t>
    <phoneticPr fontId="1" type="noConversion"/>
  </si>
  <si>
    <t>Channel8 onoff</t>
    <phoneticPr fontId="1" type="noConversion"/>
  </si>
  <si>
    <t>Channel1 sense</t>
    <phoneticPr fontId="1" type="noConversion"/>
  </si>
  <si>
    <t>Channel2 sense</t>
  </si>
  <si>
    <t>Channel3 sense</t>
  </si>
  <si>
    <t>Channel4 sense</t>
  </si>
  <si>
    <t>Channel5 sense</t>
  </si>
  <si>
    <t>Channel6 sense</t>
  </si>
  <si>
    <t>Channel7 sense</t>
  </si>
  <si>
    <t>Channel8 sense</t>
  </si>
  <si>
    <t>TPDO DEFAULT</t>
    <phoneticPr fontId="1" type="noConversion"/>
  </si>
  <si>
    <t>Only valid if the channel exists</t>
    <phoneticPr fontId="1" type="noConversion"/>
  </si>
  <si>
    <t>channel 2,5 on;channel 1,3,4,6,7,8 off
00 01 00 00 01 00 00 00</t>
    <phoneticPr fontId="1" type="noConversion"/>
  </si>
  <si>
    <t>5V2A: 00 00 a0 40 00 00 00 40</t>
    <phoneticPr fontId="1" type="noConversion"/>
  </si>
  <si>
    <t xml:space="preserve">00 00 00 00 00 00 00 00 </t>
    <phoneticPr fontId="1" type="noConversion"/>
  </si>
  <si>
    <t>NMT Command</t>
    <phoneticPr fontId="1" type="noConversion"/>
  </si>
  <si>
    <t>Start Remote Node</t>
    <phoneticPr fontId="1" type="noConversion"/>
  </si>
  <si>
    <t>Stop Remote Node</t>
    <phoneticPr fontId="1" type="noConversion"/>
  </si>
  <si>
    <t>CS</t>
    <phoneticPr fontId="1" type="noConversion"/>
  </si>
  <si>
    <t>01</t>
    <phoneticPr fontId="1" type="noConversion"/>
  </si>
  <si>
    <t>02</t>
    <phoneticPr fontId="1" type="noConversion"/>
  </si>
  <si>
    <t>Control  Example(HEX)</t>
    <phoneticPr fontId="1" type="noConversion"/>
  </si>
  <si>
    <t>01 01</t>
    <phoneticPr fontId="1" type="noConversion"/>
  </si>
  <si>
    <t>02 01</t>
    <phoneticPr fontId="1" type="noConversion"/>
  </si>
  <si>
    <t>NMT Module Control(0x0)</t>
    <phoneticPr fontId="1" type="noConversion"/>
  </si>
  <si>
    <t>CS:01  ID:01</t>
    <phoneticPr fontId="1" type="noConversion"/>
  </si>
  <si>
    <t>CS:02  ID:01</t>
    <phoneticPr fontId="1" type="noConversion"/>
  </si>
  <si>
    <t>0x1800</t>
  </si>
  <si>
    <t>0x05</t>
    <phoneticPr fontId="1" type="noConversion"/>
  </si>
  <si>
    <t>TPDO1 Event Timer</t>
    <phoneticPr fontId="1" type="noConversion"/>
  </si>
  <si>
    <t>0x1801</t>
    <phoneticPr fontId="1" type="noConversion"/>
  </si>
  <si>
    <t>0x1802</t>
    <phoneticPr fontId="1" type="noConversion"/>
  </si>
  <si>
    <t>0x1803</t>
    <phoneticPr fontId="1" type="noConversion"/>
  </si>
  <si>
    <t>TPDO2 Event Timer</t>
  </si>
  <si>
    <t>TPDO3 Event Timer</t>
  </si>
  <si>
    <t>TPDO4 Event Timer</t>
  </si>
  <si>
    <t>TPDO Parameter</t>
    <phoneticPr fontId="1" type="noConversion"/>
  </si>
  <si>
    <t>Unit:ms,0 is stop</t>
    <phoneticPr fontId="1" type="noConversion"/>
  </si>
  <si>
    <t>set value to 500</t>
    <phoneticPr fontId="1" type="noConversion"/>
  </si>
  <si>
    <t>SDO Message (0x600+ID)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</si>
</sst>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/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6">
    <cellStyle name="常规" xfId="0" builtinId="0"/>
    <cellStyle name="常规 2" xfId="2" xr:uid="{F2004728-4C26-45E6-A9DC-0714EB90DA89}"/>
    <cellStyle name="常规 3" xfId="3" xr:uid="{1076E4DA-836F-4169-8493-182C90524657}"/>
    <cellStyle name="常规 4" xfId="4" xr:uid="{DCC3190B-59DA-4A90-A09D-EE9A61FAA831}"/>
    <cellStyle name="常规 5" xfId="5" xr:uid="{694FCF2D-184B-404C-81E2-ED5B9C01441D}"/>
    <cellStyle name="常规 6" xfId="1" xr:uid="{38FAA802-DA99-45E7-983D-47CF62230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211B-9404-456C-807B-F52B53F9D38E}">
  <dimension ref="A1:L133"/>
  <sheetViews>
    <sheetView tabSelected="1" zoomScale="85" zoomScaleNormal="85" workbookViewId="0">
      <selection activeCell="E4" sqref="E4"/>
    </sheetView>
  </sheetViews>
  <sheetFormatPr defaultRowHeight="14.25" x14ac:dyDescent="0.2"/>
  <cols>
    <col min="1" max="1" width="19.5" customWidth="1"/>
    <col min="2" max="2" width="22.625" style="1" customWidth="1"/>
    <col min="3" max="3" width="18.25" style="1" customWidth="1"/>
    <col min="4" max="4" width="8.625" style="1" customWidth="1"/>
    <col min="5" max="5" width="31" style="2" customWidth="1"/>
    <col min="6" max="6" width="19.375" style="1" customWidth="1"/>
    <col min="7" max="7" width="12.75" style="1" customWidth="1"/>
    <col min="8" max="8" width="7.875" style="1" customWidth="1"/>
    <col min="9" max="9" width="30.625" customWidth="1"/>
    <col min="10" max="10" width="16.75" style="1" customWidth="1"/>
    <col min="11" max="11" width="25.25" customWidth="1"/>
    <col min="12" max="12" width="50.5" style="1" customWidth="1"/>
  </cols>
  <sheetData>
    <row r="1" spans="1:12" ht="20.25" x14ac:dyDescent="0.2">
      <c r="A1" s="63" t="s">
        <v>241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2" ht="23.45" customHeight="1" x14ac:dyDescent="0.2">
      <c r="A2" s="9" t="s">
        <v>3</v>
      </c>
      <c r="B2" s="28" t="s">
        <v>0</v>
      </c>
      <c r="C2" s="28" t="s">
        <v>1</v>
      </c>
      <c r="D2" s="28" t="s">
        <v>124</v>
      </c>
      <c r="E2" s="28" t="s">
        <v>5</v>
      </c>
      <c r="F2" s="28" t="s">
        <v>107</v>
      </c>
      <c r="G2" s="28" t="s">
        <v>34</v>
      </c>
      <c r="H2" s="28" t="s">
        <v>116</v>
      </c>
      <c r="I2" s="28" t="s">
        <v>115</v>
      </c>
      <c r="J2" s="50" t="s">
        <v>114</v>
      </c>
      <c r="K2" s="50"/>
      <c r="L2" s="10" t="s">
        <v>4</v>
      </c>
    </row>
    <row r="3" spans="1:12" ht="23.45" customHeight="1" x14ac:dyDescent="0.2">
      <c r="A3" s="60" t="s">
        <v>238</v>
      </c>
      <c r="B3" s="26" t="s">
        <v>229</v>
      </c>
      <c r="C3" s="26" t="s">
        <v>230</v>
      </c>
      <c r="D3" s="26" t="s">
        <v>125</v>
      </c>
      <c r="E3" s="26" t="s">
        <v>231</v>
      </c>
      <c r="F3" s="26" t="s">
        <v>108</v>
      </c>
      <c r="G3" s="26" t="s">
        <v>60</v>
      </c>
      <c r="H3" s="26">
        <v>2</v>
      </c>
      <c r="I3" s="21" t="str">
        <f>"4B " &amp;RIGHT(B3,2)&amp;" "&amp;"18 "&amp;RIGHT(C3,2)&amp;" 00 00 00 00 "</f>
        <v xml:space="preserve">4B 00 18 05 00 00 00 00 </v>
      </c>
      <c r="J3" s="21" t="s">
        <v>240</v>
      </c>
      <c r="K3" s="21" t="str">
        <f>"2B "&amp;RIGHT(B3,2)&amp;" 18 "&amp;RIGHT(C3,2)&amp;IF(G3="float"," 00 00 20 40 "," F4 01 00 00")</f>
        <v>2B 00 18 05 F4 01 00 00</v>
      </c>
      <c r="L3" s="45" t="s">
        <v>239</v>
      </c>
    </row>
    <row r="4" spans="1:12" ht="23.45" customHeight="1" x14ac:dyDescent="0.2">
      <c r="A4" s="61"/>
      <c r="B4" s="26" t="s">
        <v>232</v>
      </c>
      <c r="C4" s="26" t="s">
        <v>230</v>
      </c>
      <c r="D4" s="26" t="s">
        <v>125</v>
      </c>
      <c r="E4" s="26" t="s">
        <v>235</v>
      </c>
      <c r="F4" s="26" t="s">
        <v>108</v>
      </c>
      <c r="G4" s="26" t="s">
        <v>60</v>
      </c>
      <c r="H4" s="26">
        <v>2</v>
      </c>
      <c r="I4" s="31" t="str">
        <f t="shared" ref="I4:I6" si="0">"4B " &amp;RIGHT(B4,2)&amp;" "&amp;"18 "&amp;RIGHT(C4,2)&amp;" 00 00 00 00 "</f>
        <v xml:space="preserve">4B 01 18 05 00 00 00 00 </v>
      </c>
      <c r="J4" s="21" t="s">
        <v>240</v>
      </c>
      <c r="K4" s="31" t="str">
        <f t="shared" ref="K4:K6" si="1">"2B "&amp;RIGHT(B4,2)&amp;" 18 "&amp;RIGHT(C4,2)&amp;IF(G4="float"," 00 00 20 40 "," F4 01 00 00")</f>
        <v>2B 01 18 05 F4 01 00 00</v>
      </c>
      <c r="L4" s="17" t="s">
        <v>239</v>
      </c>
    </row>
    <row r="5" spans="1:12" ht="23.45" customHeight="1" x14ac:dyDescent="0.2">
      <c r="A5" s="61"/>
      <c r="B5" s="26" t="s">
        <v>233</v>
      </c>
      <c r="C5" s="26" t="s">
        <v>230</v>
      </c>
      <c r="D5" s="26" t="s">
        <v>125</v>
      </c>
      <c r="E5" s="26" t="s">
        <v>236</v>
      </c>
      <c r="F5" s="26" t="s">
        <v>108</v>
      </c>
      <c r="G5" s="26" t="s">
        <v>60</v>
      </c>
      <c r="H5" s="26">
        <v>2</v>
      </c>
      <c r="I5" s="31" t="str">
        <f t="shared" si="0"/>
        <v xml:space="preserve">4B 02 18 05 00 00 00 00 </v>
      </c>
      <c r="J5" s="21" t="s">
        <v>240</v>
      </c>
      <c r="K5" s="31" t="str">
        <f t="shared" si="1"/>
        <v>2B 02 18 05 F4 01 00 00</v>
      </c>
      <c r="L5" s="17" t="s">
        <v>239</v>
      </c>
    </row>
    <row r="6" spans="1:12" ht="23.45" customHeight="1" x14ac:dyDescent="0.2">
      <c r="A6" s="62"/>
      <c r="B6" s="27" t="s">
        <v>234</v>
      </c>
      <c r="C6" s="27" t="s">
        <v>230</v>
      </c>
      <c r="D6" s="27" t="s">
        <v>125</v>
      </c>
      <c r="E6" s="27" t="s">
        <v>237</v>
      </c>
      <c r="F6" s="27" t="s">
        <v>108</v>
      </c>
      <c r="G6" s="27" t="s">
        <v>60</v>
      </c>
      <c r="H6" s="27">
        <v>2</v>
      </c>
      <c r="I6" s="34" t="str">
        <f t="shared" si="0"/>
        <v xml:space="preserve">4B 03 18 05 00 00 00 00 </v>
      </c>
      <c r="J6" s="25" t="s">
        <v>240</v>
      </c>
      <c r="K6" s="34" t="str">
        <f t="shared" si="1"/>
        <v>2B 03 18 05 F4 01 00 00</v>
      </c>
      <c r="L6" s="46" t="s">
        <v>239</v>
      </c>
    </row>
    <row r="7" spans="1:12" x14ac:dyDescent="0.2">
      <c r="A7" s="61" t="s">
        <v>150</v>
      </c>
      <c r="B7" s="70" t="s">
        <v>136</v>
      </c>
      <c r="C7" s="21" t="str">
        <f t="shared" ref="C7:C16" si="2">"0x"&amp;DEC2HEX(ROW()-ROW($A$7)+1,2)</f>
        <v>0x01</v>
      </c>
      <c r="D7" s="26" t="s">
        <v>125</v>
      </c>
      <c r="E7" s="8" t="s">
        <v>137</v>
      </c>
      <c r="F7" s="26" t="s">
        <v>108</v>
      </c>
      <c r="G7" s="26" t="s">
        <v>16</v>
      </c>
      <c r="H7" s="26">
        <v>1</v>
      </c>
      <c r="I7" s="21" t="str">
        <f t="shared" ref="I7:I16" si="3">"4"&amp;IF(H7=4,3,"F")&amp;" "&amp;RIGHT($B$7,2)&amp;" "&amp;"30 "&amp;RIGHT(C7,2)&amp;" 00 00 00 00 "</f>
        <v xml:space="preserve">4F 01 30 01 00 00 00 00 </v>
      </c>
      <c r="J7" s="21" t="str">
        <f t="shared" ref="J7:J16" si="4">IF(G7="float","Set value to 2.5","set value to    1")</f>
        <v>set value to    1</v>
      </c>
      <c r="K7" s="21" t="str">
        <f t="shared" ref="K7:K16" si="5">"2"&amp;IF(H7=4,3,"F")&amp;" "&amp;RIGHT($B$7,2)&amp;" "&amp;"30 "&amp;RIGHT(C7,2)&amp;IF(G7="float"," 00 00 20 40 "," 01 00 00 00")</f>
        <v>2F 01 30 01 01 00 00 00</v>
      </c>
      <c r="L7" s="17"/>
    </row>
    <row r="8" spans="1:12" x14ac:dyDescent="0.2">
      <c r="A8" s="61"/>
      <c r="B8" s="70"/>
      <c r="C8" s="21" t="str">
        <f t="shared" si="2"/>
        <v>0x02</v>
      </c>
      <c r="D8" s="26" t="s">
        <v>125</v>
      </c>
      <c r="E8" s="8" t="s">
        <v>138</v>
      </c>
      <c r="F8" s="26" t="s">
        <v>108</v>
      </c>
      <c r="G8" s="26" t="s">
        <v>60</v>
      </c>
      <c r="H8" s="26">
        <v>4</v>
      </c>
      <c r="I8" s="21" t="str">
        <f t="shared" si="3"/>
        <v xml:space="preserve">43 01 30 02 00 00 00 00 </v>
      </c>
      <c r="J8" s="21" t="str">
        <f t="shared" si="4"/>
        <v>set value to    1</v>
      </c>
      <c r="K8" s="21" t="str">
        <f t="shared" si="5"/>
        <v>23 01 30 02 01 00 00 00</v>
      </c>
      <c r="L8" s="17" t="s">
        <v>151</v>
      </c>
    </row>
    <row r="9" spans="1:12" x14ac:dyDescent="0.2">
      <c r="A9" s="61"/>
      <c r="B9" s="70"/>
      <c r="C9" s="21" t="str">
        <f t="shared" si="2"/>
        <v>0x03</v>
      </c>
      <c r="D9" s="26" t="s">
        <v>125</v>
      </c>
      <c r="E9" s="8" t="s">
        <v>139</v>
      </c>
      <c r="F9" s="21" t="s">
        <v>112</v>
      </c>
      <c r="G9" s="26" t="s">
        <v>60</v>
      </c>
      <c r="H9" s="26">
        <v>4</v>
      </c>
      <c r="I9" s="21" t="str">
        <f t="shared" si="3"/>
        <v xml:space="preserve">43 01 30 03 00 00 00 00 </v>
      </c>
      <c r="J9" s="21" t="str">
        <f t="shared" si="4"/>
        <v>set value to    1</v>
      </c>
      <c r="K9" s="21" t="str">
        <f t="shared" si="5"/>
        <v>23 01 30 03 01 00 00 00</v>
      </c>
      <c r="L9" s="17" t="s">
        <v>152</v>
      </c>
    </row>
    <row r="10" spans="1:12" x14ac:dyDescent="0.2">
      <c r="A10" s="61"/>
      <c r="B10" s="70"/>
      <c r="C10" s="21" t="str">
        <f t="shared" si="2"/>
        <v>0x04</v>
      </c>
      <c r="D10" s="26" t="s">
        <v>125</v>
      </c>
      <c r="E10" s="8" t="s">
        <v>140</v>
      </c>
      <c r="F10" s="26" t="s">
        <v>113</v>
      </c>
      <c r="G10" s="26" t="s">
        <v>60</v>
      </c>
      <c r="H10" s="26">
        <v>4</v>
      </c>
      <c r="I10" s="21" t="str">
        <f t="shared" si="3"/>
        <v xml:space="preserve">43 01 30 04 00 00 00 00 </v>
      </c>
      <c r="J10" s="21" t="str">
        <f t="shared" si="4"/>
        <v>set value to    1</v>
      </c>
      <c r="K10" s="21" t="str">
        <f t="shared" si="5"/>
        <v>23 01 30 04 01 00 00 00</v>
      </c>
      <c r="L10" s="17" t="s">
        <v>153</v>
      </c>
    </row>
    <row r="11" spans="1:12" x14ac:dyDescent="0.2">
      <c r="A11" s="61"/>
      <c r="B11" s="70"/>
      <c r="C11" s="21" t="str">
        <f t="shared" si="2"/>
        <v>0x05</v>
      </c>
      <c r="D11" s="26" t="s">
        <v>125</v>
      </c>
      <c r="E11" s="8" t="s">
        <v>141</v>
      </c>
      <c r="F11" s="26" t="s">
        <v>108</v>
      </c>
      <c r="G11" s="26" t="s">
        <v>60</v>
      </c>
      <c r="H11" s="26">
        <v>4</v>
      </c>
      <c r="I11" s="21" t="str">
        <f t="shared" si="3"/>
        <v xml:space="preserve">43 01 30 05 00 00 00 00 </v>
      </c>
      <c r="J11" s="21" t="str">
        <f t="shared" si="4"/>
        <v>set value to    1</v>
      </c>
      <c r="K11" s="21" t="str">
        <f t="shared" si="5"/>
        <v>23 01 30 05 01 00 00 00</v>
      </c>
      <c r="L11" s="17" t="s">
        <v>154</v>
      </c>
    </row>
    <row r="12" spans="1:12" x14ac:dyDescent="0.2">
      <c r="A12" s="61"/>
      <c r="B12" s="70"/>
      <c r="C12" s="21" t="str">
        <f t="shared" si="2"/>
        <v>0x06</v>
      </c>
      <c r="D12" s="26" t="s">
        <v>125</v>
      </c>
      <c r="E12" s="8" t="s">
        <v>142</v>
      </c>
      <c r="F12" s="26" t="s">
        <v>108</v>
      </c>
      <c r="G12" s="26" t="s">
        <v>60</v>
      </c>
      <c r="H12" s="26">
        <v>4</v>
      </c>
      <c r="I12" s="21" t="str">
        <f t="shared" si="3"/>
        <v xml:space="preserve">43 01 30 06 00 00 00 00 </v>
      </c>
      <c r="J12" s="21" t="str">
        <f t="shared" si="4"/>
        <v>set value to    1</v>
      </c>
      <c r="K12" s="21" t="str">
        <f t="shared" si="5"/>
        <v>23 01 30 06 01 00 00 00</v>
      </c>
      <c r="L12" s="17" t="s">
        <v>155</v>
      </c>
    </row>
    <row r="13" spans="1:12" x14ac:dyDescent="0.2">
      <c r="A13" s="61"/>
      <c r="B13" s="70"/>
      <c r="C13" s="21" t="str">
        <f t="shared" si="2"/>
        <v>0x07</v>
      </c>
      <c r="D13" s="26" t="s">
        <v>125</v>
      </c>
      <c r="E13" s="8" t="s">
        <v>143</v>
      </c>
      <c r="F13" s="26" t="s">
        <v>108</v>
      </c>
      <c r="G13" s="26" t="s">
        <v>60</v>
      </c>
      <c r="H13" s="26">
        <v>4</v>
      </c>
      <c r="I13" s="21" t="str">
        <f t="shared" si="3"/>
        <v xml:space="preserve">43 01 30 07 00 00 00 00 </v>
      </c>
      <c r="J13" s="21" t="str">
        <f t="shared" si="4"/>
        <v>set value to    1</v>
      </c>
      <c r="K13" s="21" t="str">
        <f t="shared" si="5"/>
        <v>23 01 30 07 01 00 00 00</v>
      </c>
      <c r="L13" s="17" t="str">
        <f>L11</f>
        <v>bit[0-7]:channel 0-7</v>
      </c>
    </row>
    <row r="14" spans="1:12" x14ac:dyDescent="0.2">
      <c r="A14" s="61"/>
      <c r="B14" s="70"/>
      <c r="C14" s="21" t="str">
        <f t="shared" si="2"/>
        <v>0x08</v>
      </c>
      <c r="D14" s="26" t="s">
        <v>125</v>
      </c>
      <c r="E14" s="8" t="s">
        <v>144</v>
      </c>
      <c r="F14" s="26" t="s">
        <v>108</v>
      </c>
      <c r="G14" s="26" t="s">
        <v>60</v>
      </c>
      <c r="H14" s="26">
        <v>4</v>
      </c>
      <c r="I14" s="21" t="str">
        <f t="shared" si="3"/>
        <v xml:space="preserve">43 01 30 08 00 00 00 00 </v>
      </c>
      <c r="J14" s="21" t="str">
        <f t="shared" si="4"/>
        <v>set value to    1</v>
      </c>
      <c r="K14" s="21" t="str">
        <f t="shared" si="5"/>
        <v>23 01 30 08 01 00 00 00</v>
      </c>
      <c r="L14" s="17"/>
    </row>
    <row r="15" spans="1:12" x14ac:dyDescent="0.2">
      <c r="A15" s="61"/>
      <c r="B15" s="70"/>
      <c r="C15" s="21" t="str">
        <f t="shared" si="2"/>
        <v>0x09</v>
      </c>
      <c r="D15" s="26" t="s">
        <v>125</v>
      </c>
      <c r="E15" s="8" t="s">
        <v>145</v>
      </c>
      <c r="F15" s="26" t="s">
        <v>108</v>
      </c>
      <c r="G15" s="26" t="s">
        <v>60</v>
      </c>
      <c r="H15" s="26">
        <v>4</v>
      </c>
      <c r="I15" s="21" t="str">
        <f t="shared" si="3"/>
        <v xml:space="preserve">43 01 30 09 00 00 00 00 </v>
      </c>
      <c r="J15" s="21" t="str">
        <f t="shared" si="4"/>
        <v>set value to    1</v>
      </c>
      <c r="K15" s="21" t="str">
        <f t="shared" si="5"/>
        <v>23 01 30 09 01 00 00 00</v>
      </c>
      <c r="L15" s="17" t="s">
        <v>156</v>
      </c>
    </row>
    <row r="16" spans="1:12" x14ac:dyDescent="0.2">
      <c r="A16" s="62"/>
      <c r="B16" s="71"/>
      <c r="C16" s="25" t="str">
        <f t="shared" si="2"/>
        <v>0x0A</v>
      </c>
      <c r="D16" s="26" t="s">
        <v>125</v>
      </c>
      <c r="E16" s="8" t="s">
        <v>146</v>
      </c>
      <c r="F16" s="26" t="s">
        <v>108</v>
      </c>
      <c r="G16" s="26" t="s">
        <v>60</v>
      </c>
      <c r="H16" s="26">
        <v>4</v>
      </c>
      <c r="I16" s="21" t="str">
        <f t="shared" si="3"/>
        <v xml:space="preserve">43 01 30 0A 00 00 00 00 </v>
      </c>
      <c r="J16" s="25" t="str">
        <f t="shared" si="4"/>
        <v>set value to    1</v>
      </c>
      <c r="K16" s="25" t="str">
        <f t="shared" si="5"/>
        <v>23 01 30 0A 01 00 00 00</v>
      </c>
      <c r="L16" s="17" t="str">
        <f>L11</f>
        <v>bit[0-7]:channel 0-7</v>
      </c>
    </row>
    <row r="17" spans="1:12" ht="17.45" customHeight="1" x14ac:dyDescent="0.2">
      <c r="A17" s="54" t="s">
        <v>123</v>
      </c>
      <c r="B17" s="51" t="s">
        <v>126</v>
      </c>
      <c r="C17" s="21" t="str">
        <f t="shared" ref="C17:C41" si="6">"0x"&amp;DEC2HEX(ROW()-ROW($A$17)+1,2)</f>
        <v>0x01</v>
      </c>
      <c r="D17" s="7" t="s">
        <v>125</v>
      </c>
      <c r="E17" s="5" t="s">
        <v>11</v>
      </c>
      <c r="F17" s="7" t="s">
        <v>108</v>
      </c>
      <c r="G17" s="7" t="s">
        <v>15</v>
      </c>
      <c r="H17" s="7">
        <v>4</v>
      </c>
      <c r="I17" s="7" t="str">
        <f t="shared" ref="I17:I41" si="7">"4"&amp;IF(H17=4,3,"F")&amp;" "&amp;RIGHT($B$17,2)&amp;" "&amp;"30 "&amp;RIGHT(C17,2)&amp;" 00 00 00 00 "</f>
        <v xml:space="preserve">43 02 30 01 00 00 00 00 </v>
      </c>
      <c r="J17" s="21" t="str">
        <f>IF(G17="float","Set value to 2.5","set value to    1")</f>
        <v>Set value to 2.5</v>
      </c>
      <c r="K17" s="21" t="str">
        <f t="shared" ref="K17:K41" si="8">"2"&amp;IF(H17=4,3,"F")&amp;" "&amp;RIGHT($B$17,2)&amp;" "&amp;"30 "&amp;RIGHT(C17,2)&amp;IF(G17="float"," 00 00 20 40 "," 01 00 00 00")</f>
        <v xml:space="preserve">23 02 30 01 00 00 20 40 </v>
      </c>
      <c r="L17" s="18"/>
    </row>
    <row r="18" spans="1:12" x14ac:dyDescent="0.2">
      <c r="A18" s="55"/>
      <c r="B18" s="52"/>
      <c r="C18" s="21" t="str">
        <f t="shared" si="6"/>
        <v>0x02</v>
      </c>
      <c r="D18" s="21" t="s">
        <v>125</v>
      </c>
      <c r="E18" s="3" t="s">
        <v>7</v>
      </c>
      <c r="F18" s="21" t="s">
        <v>108</v>
      </c>
      <c r="G18" s="21" t="s">
        <v>15</v>
      </c>
      <c r="H18" s="21">
        <v>4</v>
      </c>
      <c r="I18" s="21" t="str">
        <f t="shared" si="7"/>
        <v xml:space="preserve">43 02 30 02 00 00 00 00 </v>
      </c>
      <c r="J18" s="21" t="str">
        <f t="shared" ref="J18:J100" si="9">IF(G18="float","Set value to 2.5","set value to    1")</f>
        <v>Set value to 2.5</v>
      </c>
      <c r="K18" s="21" t="str">
        <f t="shared" si="8"/>
        <v xml:space="preserve">23 02 30 02 00 00 20 40 </v>
      </c>
      <c r="L18" s="19"/>
    </row>
    <row r="19" spans="1:12" x14ac:dyDescent="0.2">
      <c r="A19" s="55"/>
      <c r="B19" s="52"/>
      <c r="C19" s="21" t="str">
        <f t="shared" si="6"/>
        <v>0x03</v>
      </c>
      <c r="D19" s="21" t="s">
        <v>125</v>
      </c>
      <c r="E19" s="3" t="s">
        <v>53</v>
      </c>
      <c r="F19" s="21" t="s">
        <v>110</v>
      </c>
      <c r="G19" s="21" t="s">
        <v>15</v>
      </c>
      <c r="H19" s="21">
        <v>4</v>
      </c>
      <c r="I19" s="21" t="str">
        <f t="shared" si="7"/>
        <v xml:space="preserve">43 02 30 03 00 00 00 00 </v>
      </c>
      <c r="J19" s="21" t="str">
        <f t="shared" si="9"/>
        <v>Set value to 2.5</v>
      </c>
      <c r="K19" s="21" t="str">
        <f t="shared" si="8"/>
        <v xml:space="preserve">23 02 30 03 00 00 20 40 </v>
      </c>
      <c r="L19" s="19"/>
    </row>
    <row r="20" spans="1:12" x14ac:dyDescent="0.2">
      <c r="A20" s="55"/>
      <c r="B20" s="52"/>
      <c r="C20" s="21" t="str">
        <f t="shared" si="6"/>
        <v>0x04</v>
      </c>
      <c r="D20" s="21" t="s">
        <v>125</v>
      </c>
      <c r="E20" s="3" t="s">
        <v>54</v>
      </c>
      <c r="F20" s="21" t="s">
        <v>110</v>
      </c>
      <c r="G20" s="21" t="s">
        <v>15</v>
      </c>
      <c r="H20" s="21">
        <v>4</v>
      </c>
      <c r="I20" s="21" t="str">
        <f t="shared" si="7"/>
        <v xml:space="preserve">43 02 30 04 00 00 00 00 </v>
      </c>
      <c r="J20" s="21" t="str">
        <f t="shared" si="9"/>
        <v>Set value to 2.5</v>
      </c>
      <c r="K20" s="21" t="str">
        <f t="shared" si="8"/>
        <v xml:space="preserve">23 02 30 04 00 00 20 40 </v>
      </c>
      <c r="L20" s="19"/>
    </row>
    <row r="21" spans="1:12" x14ac:dyDescent="0.2">
      <c r="A21" s="55"/>
      <c r="B21" s="52"/>
      <c r="C21" s="21" t="str">
        <f t="shared" si="6"/>
        <v>0x05</v>
      </c>
      <c r="D21" s="21" t="s">
        <v>125</v>
      </c>
      <c r="E21" s="3" t="s">
        <v>117</v>
      </c>
      <c r="F21" s="21" t="s">
        <v>110</v>
      </c>
      <c r="G21" s="21" t="s">
        <v>16</v>
      </c>
      <c r="H21" s="21">
        <v>1</v>
      </c>
      <c r="I21" s="21" t="str">
        <f t="shared" si="7"/>
        <v xml:space="preserve">4F 02 30 05 00 00 00 00 </v>
      </c>
      <c r="J21" s="21" t="str">
        <f t="shared" si="9"/>
        <v>set value to    1</v>
      </c>
      <c r="K21" s="21" t="str">
        <f t="shared" si="8"/>
        <v>2F 02 30 05 01 00 00 00</v>
      </c>
      <c r="L21" s="19" t="s">
        <v>121</v>
      </c>
    </row>
    <row r="22" spans="1:12" x14ac:dyDescent="0.2">
      <c r="A22" s="55"/>
      <c r="B22" s="52"/>
      <c r="C22" s="21" t="str">
        <f t="shared" si="6"/>
        <v>0x06</v>
      </c>
      <c r="D22" s="21" t="s">
        <v>125</v>
      </c>
      <c r="E22" s="3" t="s">
        <v>8</v>
      </c>
      <c r="F22" s="21" t="s">
        <v>111</v>
      </c>
      <c r="G22" s="21" t="s">
        <v>60</v>
      </c>
      <c r="H22" s="21">
        <v>4</v>
      </c>
      <c r="I22" s="21" t="str">
        <f t="shared" si="7"/>
        <v xml:space="preserve">43 02 30 06 00 00 00 00 </v>
      </c>
      <c r="J22" s="21" t="str">
        <f t="shared" si="9"/>
        <v>set value to    1</v>
      </c>
      <c r="K22" s="21" t="str">
        <f t="shared" si="8"/>
        <v>23 02 30 06 01 00 00 00</v>
      </c>
      <c r="L22" s="19"/>
    </row>
    <row r="23" spans="1:12" x14ac:dyDescent="0.2">
      <c r="A23" s="55"/>
      <c r="B23" s="52"/>
      <c r="C23" s="21" t="str">
        <f t="shared" si="6"/>
        <v>0x07</v>
      </c>
      <c r="D23" s="21" t="s">
        <v>125</v>
      </c>
      <c r="E23" s="3" t="s">
        <v>9</v>
      </c>
      <c r="F23" s="21" t="s">
        <v>111</v>
      </c>
      <c r="G23" s="21" t="s">
        <v>15</v>
      </c>
      <c r="H23" s="21">
        <v>4</v>
      </c>
      <c r="I23" s="21" t="str">
        <f t="shared" si="7"/>
        <v xml:space="preserve">43 02 30 07 00 00 00 00 </v>
      </c>
      <c r="J23" s="21" t="str">
        <f t="shared" si="9"/>
        <v>Set value to 2.5</v>
      </c>
      <c r="K23" s="21" t="str">
        <f t="shared" si="8"/>
        <v xml:space="preserve">23 02 30 07 00 00 20 40 </v>
      </c>
      <c r="L23" s="19"/>
    </row>
    <row r="24" spans="1:12" x14ac:dyDescent="0.2">
      <c r="A24" s="55"/>
      <c r="B24" s="52"/>
      <c r="C24" s="21" t="str">
        <f t="shared" si="6"/>
        <v>0x08</v>
      </c>
      <c r="D24" s="21" t="s">
        <v>125</v>
      </c>
      <c r="E24" s="3" t="s">
        <v>42</v>
      </c>
      <c r="F24" s="21" t="s">
        <v>108</v>
      </c>
      <c r="G24" s="21" t="s">
        <v>15</v>
      </c>
      <c r="H24" s="21">
        <v>4</v>
      </c>
      <c r="I24" s="21" t="str">
        <f t="shared" si="7"/>
        <v xml:space="preserve">43 02 30 08 00 00 00 00 </v>
      </c>
      <c r="J24" s="21" t="str">
        <f t="shared" si="9"/>
        <v>Set value to 2.5</v>
      </c>
      <c r="K24" s="21" t="str">
        <f t="shared" si="8"/>
        <v xml:space="preserve">23 02 30 08 00 00 20 40 </v>
      </c>
      <c r="L24" s="19"/>
    </row>
    <row r="25" spans="1:12" x14ac:dyDescent="0.2">
      <c r="A25" s="55"/>
      <c r="B25" s="52"/>
      <c r="C25" s="21" t="str">
        <f t="shared" si="6"/>
        <v>0x09</v>
      </c>
      <c r="D25" s="21" t="s">
        <v>125</v>
      </c>
      <c r="E25" s="3" t="s">
        <v>10</v>
      </c>
      <c r="F25" s="21" t="s">
        <v>108</v>
      </c>
      <c r="G25" s="21" t="s">
        <v>15</v>
      </c>
      <c r="H25" s="21">
        <v>4</v>
      </c>
      <c r="I25" s="21" t="str">
        <f t="shared" si="7"/>
        <v xml:space="preserve">43 02 30 09 00 00 00 00 </v>
      </c>
      <c r="J25" s="21" t="str">
        <f t="shared" si="9"/>
        <v>Set value to 2.5</v>
      </c>
      <c r="K25" s="21" t="str">
        <f t="shared" si="8"/>
        <v xml:space="preserve">23 02 30 09 00 00 20 40 </v>
      </c>
      <c r="L25" s="19"/>
    </row>
    <row r="26" spans="1:12" x14ac:dyDescent="0.2">
      <c r="A26" s="55"/>
      <c r="B26" s="52"/>
      <c r="C26" s="21" t="str">
        <f t="shared" si="6"/>
        <v>0x0A</v>
      </c>
      <c r="D26" s="21" t="s">
        <v>125</v>
      </c>
      <c r="E26" s="3" t="s">
        <v>43</v>
      </c>
      <c r="F26" s="21" t="s">
        <v>112</v>
      </c>
      <c r="G26" s="21" t="s">
        <v>15</v>
      </c>
      <c r="H26" s="21">
        <v>4</v>
      </c>
      <c r="I26" s="21" t="str">
        <f t="shared" si="7"/>
        <v xml:space="preserve">43 02 30 0A 00 00 00 00 </v>
      </c>
      <c r="J26" s="21" t="str">
        <f t="shared" si="9"/>
        <v>Set value to 2.5</v>
      </c>
      <c r="K26" s="21" t="str">
        <f t="shared" si="8"/>
        <v xml:space="preserve">23 02 30 0A 00 00 20 40 </v>
      </c>
      <c r="L26" s="19"/>
    </row>
    <row r="27" spans="1:12" x14ac:dyDescent="0.2">
      <c r="A27" s="55"/>
      <c r="B27" s="52"/>
      <c r="C27" s="21" t="str">
        <f t="shared" si="6"/>
        <v>0x0B</v>
      </c>
      <c r="D27" s="21" t="s">
        <v>125</v>
      </c>
      <c r="E27" s="3" t="s">
        <v>46</v>
      </c>
      <c r="F27" s="21" t="s">
        <v>112</v>
      </c>
      <c r="G27" s="21" t="s">
        <v>15</v>
      </c>
      <c r="H27" s="21">
        <v>4</v>
      </c>
      <c r="I27" s="21" t="str">
        <f t="shared" si="7"/>
        <v xml:space="preserve">43 02 30 0B 00 00 00 00 </v>
      </c>
      <c r="J27" s="21" t="str">
        <f t="shared" si="9"/>
        <v>Set value to 2.5</v>
      </c>
      <c r="K27" s="21" t="str">
        <f t="shared" si="8"/>
        <v xml:space="preserve">23 02 30 0B 00 00 20 40 </v>
      </c>
      <c r="L27" s="19"/>
    </row>
    <row r="28" spans="1:12" x14ac:dyDescent="0.2">
      <c r="A28" s="55"/>
      <c r="B28" s="52"/>
      <c r="C28" s="21" t="str">
        <f t="shared" si="6"/>
        <v>0x0C</v>
      </c>
      <c r="D28" s="21" t="s">
        <v>125</v>
      </c>
      <c r="E28" s="3" t="s">
        <v>12</v>
      </c>
      <c r="F28" s="21" t="s">
        <v>112</v>
      </c>
      <c r="G28" s="21" t="s">
        <v>16</v>
      </c>
      <c r="H28" s="21">
        <v>1</v>
      </c>
      <c r="I28" s="21" t="str">
        <f t="shared" si="7"/>
        <v xml:space="preserve">4F 02 30 0C 00 00 00 00 </v>
      </c>
      <c r="J28" s="21" t="str">
        <f t="shared" si="9"/>
        <v>set value to    1</v>
      </c>
      <c r="K28" s="21" t="str">
        <f t="shared" si="8"/>
        <v>2F 02 30 0C 01 00 00 00</v>
      </c>
      <c r="L28" s="19" t="s">
        <v>121</v>
      </c>
    </row>
    <row r="29" spans="1:12" x14ac:dyDescent="0.2">
      <c r="A29" s="55"/>
      <c r="B29" s="52"/>
      <c r="C29" s="21" t="str">
        <f t="shared" si="6"/>
        <v>0x0D</v>
      </c>
      <c r="D29" s="21" t="s">
        <v>125</v>
      </c>
      <c r="E29" s="3" t="s">
        <v>52</v>
      </c>
      <c r="F29" s="21" t="s">
        <v>112</v>
      </c>
      <c r="G29" s="21" t="s">
        <v>16</v>
      </c>
      <c r="H29" s="21">
        <v>1</v>
      </c>
      <c r="I29" s="21" t="str">
        <f t="shared" si="7"/>
        <v xml:space="preserve">4F 02 30 0D 00 00 00 00 </v>
      </c>
      <c r="J29" s="21" t="str">
        <f t="shared" si="9"/>
        <v>set value to    1</v>
      </c>
      <c r="K29" s="21" t="str">
        <f t="shared" si="8"/>
        <v>2F 02 30 0D 01 00 00 00</v>
      </c>
      <c r="L29" s="19" t="s">
        <v>121</v>
      </c>
    </row>
    <row r="30" spans="1:12" x14ac:dyDescent="0.2">
      <c r="A30" s="55"/>
      <c r="B30" s="52"/>
      <c r="C30" s="21" t="str">
        <f t="shared" si="6"/>
        <v>0x0E</v>
      </c>
      <c r="D30" s="21" t="s">
        <v>125</v>
      </c>
      <c r="E30" s="3" t="s">
        <v>13</v>
      </c>
      <c r="F30" s="21" t="s">
        <v>112</v>
      </c>
      <c r="G30" s="21" t="s">
        <v>16</v>
      </c>
      <c r="H30" s="21">
        <v>1</v>
      </c>
      <c r="I30" s="21" t="str">
        <f t="shared" si="7"/>
        <v xml:space="preserve">4F 02 30 0E 00 00 00 00 </v>
      </c>
      <c r="J30" s="21" t="str">
        <f t="shared" si="9"/>
        <v>set value to    1</v>
      </c>
      <c r="K30" s="21" t="str">
        <f t="shared" si="8"/>
        <v>2F 02 30 0E 01 00 00 00</v>
      </c>
      <c r="L30" s="19" t="s">
        <v>121</v>
      </c>
    </row>
    <row r="31" spans="1:12" x14ac:dyDescent="0.2">
      <c r="A31" s="55"/>
      <c r="B31" s="52"/>
      <c r="C31" s="21" t="str">
        <f t="shared" si="6"/>
        <v>0x0F</v>
      </c>
      <c r="D31" s="21" t="s">
        <v>125</v>
      </c>
      <c r="E31" s="3" t="s">
        <v>14</v>
      </c>
      <c r="F31" s="21" t="s">
        <v>110</v>
      </c>
      <c r="G31" s="21" t="s">
        <v>16</v>
      </c>
      <c r="H31" s="21">
        <v>1</v>
      </c>
      <c r="I31" s="21" t="str">
        <f t="shared" si="7"/>
        <v xml:space="preserve">4F 02 30 0F 00 00 00 00 </v>
      </c>
      <c r="J31" s="21" t="str">
        <f t="shared" si="9"/>
        <v>set value to    1</v>
      </c>
      <c r="K31" s="21" t="str">
        <f t="shared" si="8"/>
        <v>2F 02 30 0F 01 00 00 00</v>
      </c>
      <c r="L31" s="19" t="s">
        <v>121</v>
      </c>
    </row>
    <row r="32" spans="1:12" x14ac:dyDescent="0.2">
      <c r="A32" s="55"/>
      <c r="B32" s="52"/>
      <c r="C32" s="21" t="str">
        <f t="shared" si="6"/>
        <v>0x10</v>
      </c>
      <c r="D32" s="21" t="s">
        <v>125</v>
      </c>
      <c r="E32" s="3" t="s">
        <v>29</v>
      </c>
      <c r="F32" s="21" t="s">
        <v>110</v>
      </c>
      <c r="G32" s="21" t="s">
        <v>15</v>
      </c>
      <c r="H32" s="21">
        <v>4</v>
      </c>
      <c r="I32" s="21" t="str">
        <f t="shared" si="7"/>
        <v xml:space="preserve">43 02 30 10 00 00 00 00 </v>
      </c>
      <c r="J32" s="21" t="str">
        <f t="shared" si="9"/>
        <v>Set value to 2.5</v>
      </c>
      <c r="K32" s="21" t="str">
        <f t="shared" si="8"/>
        <v xml:space="preserve">23 02 30 10 00 00 20 40 </v>
      </c>
      <c r="L32" s="19"/>
    </row>
    <row r="33" spans="1:12" x14ac:dyDescent="0.2">
      <c r="A33" s="55"/>
      <c r="B33" s="52"/>
      <c r="C33" s="21" t="str">
        <f t="shared" si="6"/>
        <v>0x11</v>
      </c>
      <c r="D33" s="21" t="s">
        <v>125</v>
      </c>
      <c r="E33" s="3" t="s">
        <v>157</v>
      </c>
      <c r="F33" s="21" t="s">
        <v>108</v>
      </c>
      <c r="G33" s="21" t="s">
        <v>16</v>
      </c>
      <c r="H33" s="21">
        <v>1</v>
      </c>
      <c r="I33" s="21" t="str">
        <f t="shared" si="7"/>
        <v xml:space="preserve">4F 02 30 11 00 00 00 00 </v>
      </c>
      <c r="J33" s="21" t="str">
        <f t="shared" si="9"/>
        <v>set value to    1</v>
      </c>
      <c r="K33" s="21" t="str">
        <f t="shared" si="8"/>
        <v>2F 02 30 11 01 00 00 00</v>
      </c>
      <c r="L33" s="19" t="s">
        <v>121</v>
      </c>
    </row>
    <row r="34" spans="1:12" x14ac:dyDescent="0.2">
      <c r="A34" s="55"/>
      <c r="B34" s="52"/>
      <c r="C34" s="21" t="str">
        <f t="shared" si="6"/>
        <v>0x12</v>
      </c>
      <c r="D34" s="21" t="s">
        <v>125</v>
      </c>
      <c r="E34" s="3" t="s">
        <v>159</v>
      </c>
      <c r="F34" s="21" t="s">
        <v>108</v>
      </c>
      <c r="G34" s="21" t="s">
        <v>15</v>
      </c>
      <c r="H34" s="21">
        <v>4</v>
      </c>
      <c r="I34" s="21" t="str">
        <f t="shared" si="7"/>
        <v xml:space="preserve">43 02 30 12 00 00 00 00 </v>
      </c>
      <c r="J34" s="21" t="str">
        <f t="shared" si="9"/>
        <v>Set value to 2.5</v>
      </c>
      <c r="K34" s="21" t="str">
        <f t="shared" si="8"/>
        <v xml:space="preserve">23 02 30 12 00 00 20 40 </v>
      </c>
      <c r="L34" s="19"/>
    </row>
    <row r="35" spans="1:12" x14ac:dyDescent="0.2">
      <c r="A35" s="55"/>
      <c r="B35" s="52"/>
      <c r="C35" s="21" t="str">
        <f t="shared" si="6"/>
        <v>0x13</v>
      </c>
      <c r="D35" s="21" t="s">
        <v>125</v>
      </c>
      <c r="E35" s="3" t="s">
        <v>158</v>
      </c>
      <c r="F35" s="21" t="s">
        <v>110</v>
      </c>
      <c r="G35" s="21" t="s">
        <v>15</v>
      </c>
      <c r="H35" s="21">
        <v>4</v>
      </c>
      <c r="I35" s="21" t="str">
        <f t="shared" si="7"/>
        <v xml:space="preserve">43 02 30 13 00 00 00 00 </v>
      </c>
      <c r="J35" s="21" t="str">
        <f t="shared" si="9"/>
        <v>Set value to 2.5</v>
      </c>
      <c r="K35" s="21" t="str">
        <f t="shared" si="8"/>
        <v xml:space="preserve">23 02 30 13 00 00 20 40 </v>
      </c>
      <c r="L35" s="19"/>
    </row>
    <row r="36" spans="1:12" x14ac:dyDescent="0.2">
      <c r="A36" s="55"/>
      <c r="B36" s="52"/>
      <c r="C36" s="21" t="str">
        <f t="shared" si="6"/>
        <v>0x14</v>
      </c>
      <c r="D36" s="21" t="s">
        <v>125</v>
      </c>
      <c r="E36" s="3" t="s">
        <v>160</v>
      </c>
      <c r="F36" s="21" t="s">
        <v>108</v>
      </c>
      <c r="G36" s="21" t="s">
        <v>15</v>
      </c>
      <c r="H36" s="21">
        <v>4</v>
      </c>
      <c r="I36" s="21" t="str">
        <f t="shared" si="7"/>
        <v xml:space="preserve">43 02 30 14 00 00 00 00 </v>
      </c>
      <c r="J36" s="21" t="str">
        <f t="shared" si="9"/>
        <v>Set value to 2.5</v>
      </c>
      <c r="K36" s="21" t="str">
        <f t="shared" si="8"/>
        <v xml:space="preserve">23 02 30 14 00 00 20 40 </v>
      </c>
      <c r="L36" s="19"/>
    </row>
    <row r="37" spans="1:12" x14ac:dyDescent="0.2">
      <c r="A37" s="55"/>
      <c r="B37" s="52"/>
      <c r="C37" s="21" t="str">
        <f t="shared" si="6"/>
        <v>0x15</v>
      </c>
      <c r="D37" s="21" t="s">
        <v>125</v>
      </c>
      <c r="E37" s="3" t="s">
        <v>161</v>
      </c>
      <c r="F37" s="21" t="s">
        <v>112</v>
      </c>
      <c r="G37" s="21" t="s">
        <v>16</v>
      </c>
      <c r="H37" s="21">
        <v>1</v>
      </c>
      <c r="I37" s="21" t="str">
        <f t="shared" si="7"/>
        <v xml:space="preserve">4F 02 30 15 00 00 00 00 </v>
      </c>
      <c r="J37" s="21" t="str">
        <f t="shared" si="9"/>
        <v>set value to    1</v>
      </c>
      <c r="K37" s="21" t="str">
        <f t="shared" si="8"/>
        <v>2F 02 30 15 01 00 00 00</v>
      </c>
      <c r="L37" s="19" t="s">
        <v>121</v>
      </c>
    </row>
    <row r="38" spans="1:12" x14ac:dyDescent="0.2">
      <c r="A38" s="55"/>
      <c r="B38" s="52"/>
      <c r="C38" s="21" t="str">
        <f t="shared" si="6"/>
        <v>0x16</v>
      </c>
      <c r="D38" s="21" t="s">
        <v>125</v>
      </c>
      <c r="E38" s="3" t="s">
        <v>162</v>
      </c>
      <c r="F38" s="21" t="s">
        <v>112</v>
      </c>
      <c r="G38" s="21" t="s">
        <v>15</v>
      </c>
      <c r="H38" s="21">
        <v>4</v>
      </c>
      <c r="I38" s="21" t="str">
        <f t="shared" si="7"/>
        <v xml:space="preserve">43 02 30 16 00 00 00 00 </v>
      </c>
      <c r="J38" s="21" t="str">
        <f t="shared" si="9"/>
        <v>Set value to 2.5</v>
      </c>
      <c r="K38" s="21" t="str">
        <f t="shared" si="8"/>
        <v xml:space="preserve">23 02 30 16 00 00 20 40 </v>
      </c>
      <c r="L38" s="19"/>
    </row>
    <row r="39" spans="1:12" x14ac:dyDescent="0.2">
      <c r="A39" s="55"/>
      <c r="B39" s="52"/>
      <c r="C39" s="21" t="str">
        <f t="shared" si="6"/>
        <v>0x17</v>
      </c>
      <c r="D39" s="21" t="s">
        <v>125</v>
      </c>
      <c r="E39" s="3" t="s">
        <v>163</v>
      </c>
      <c r="F39" s="21" t="s">
        <v>110</v>
      </c>
      <c r="G39" s="21" t="s">
        <v>15</v>
      </c>
      <c r="H39" s="21">
        <v>4</v>
      </c>
      <c r="I39" s="21" t="str">
        <f t="shared" si="7"/>
        <v xml:space="preserve">43 02 30 17 00 00 00 00 </v>
      </c>
      <c r="J39" s="21" t="str">
        <f t="shared" si="9"/>
        <v>Set value to 2.5</v>
      </c>
      <c r="K39" s="21" t="str">
        <f t="shared" si="8"/>
        <v xml:space="preserve">23 02 30 17 00 00 20 40 </v>
      </c>
      <c r="L39" s="19"/>
    </row>
    <row r="40" spans="1:12" x14ac:dyDescent="0.2">
      <c r="A40" s="55"/>
      <c r="B40" s="52"/>
      <c r="C40" s="21" t="str">
        <f t="shared" si="6"/>
        <v>0x18</v>
      </c>
      <c r="D40" s="21" t="s">
        <v>125</v>
      </c>
      <c r="E40" s="3" t="s">
        <v>164</v>
      </c>
      <c r="F40" s="21" t="s">
        <v>112</v>
      </c>
      <c r="G40" s="21" t="s">
        <v>15</v>
      </c>
      <c r="H40" s="21">
        <v>4</v>
      </c>
      <c r="I40" s="21" t="str">
        <f t="shared" si="7"/>
        <v xml:space="preserve">43 02 30 18 00 00 00 00 </v>
      </c>
      <c r="J40" s="21" t="str">
        <f t="shared" si="9"/>
        <v>Set value to 2.5</v>
      </c>
      <c r="K40" s="21" t="str">
        <f t="shared" si="8"/>
        <v xml:space="preserve">23 02 30 18 00 00 20 40 </v>
      </c>
      <c r="L40" s="19"/>
    </row>
    <row r="41" spans="1:12" x14ac:dyDescent="0.2">
      <c r="A41" s="56"/>
      <c r="B41" s="53"/>
      <c r="C41" s="25" t="str">
        <f t="shared" si="6"/>
        <v>0x19</v>
      </c>
      <c r="D41" s="25" t="s">
        <v>125</v>
      </c>
      <c r="E41" s="3" t="s">
        <v>165</v>
      </c>
      <c r="F41" s="21" t="s">
        <v>112</v>
      </c>
      <c r="G41" s="21" t="s">
        <v>15</v>
      </c>
      <c r="H41" s="21">
        <v>4</v>
      </c>
      <c r="I41" s="21" t="str">
        <f t="shared" si="7"/>
        <v xml:space="preserve">43 02 30 19 00 00 00 00 </v>
      </c>
      <c r="J41" s="25" t="str">
        <f t="shared" si="9"/>
        <v>Set value to 2.5</v>
      </c>
      <c r="K41" s="21" t="str">
        <f t="shared" si="8"/>
        <v xml:space="preserve">23 02 30 19 00 00 20 40 </v>
      </c>
      <c r="L41" s="19"/>
    </row>
    <row r="42" spans="1:12" ht="13.9" customHeight="1" x14ac:dyDescent="0.2">
      <c r="A42" s="57" t="s">
        <v>17</v>
      </c>
      <c r="B42" s="51" t="s">
        <v>127</v>
      </c>
      <c r="C42" s="21" t="str">
        <f t="shared" ref="C42:C72" si="10">"0x"&amp;DEC2HEX(ROW()-ROW($A$42)+1,2)</f>
        <v>0x01</v>
      </c>
      <c r="D42" s="7" t="s">
        <v>125</v>
      </c>
      <c r="E42" s="5" t="s">
        <v>18</v>
      </c>
      <c r="F42" s="7" t="s">
        <v>108</v>
      </c>
      <c r="G42" s="7" t="s">
        <v>15</v>
      </c>
      <c r="H42" s="7">
        <v>4</v>
      </c>
      <c r="I42" s="7" t="str">
        <f t="shared" ref="I42:I72" si="11">"4"&amp;IF(H42=4,3,"F")&amp;" "&amp;RIGHT($B$42,2)&amp;" "&amp;"30 "&amp;RIGHT(C42,2)&amp;" 00 00 00 00 "</f>
        <v xml:space="preserve">43 03 30 01 00 00 00 00 </v>
      </c>
      <c r="J42" s="21" t="str">
        <f t="shared" si="9"/>
        <v>Set value to 2.5</v>
      </c>
      <c r="K42" s="7" t="str">
        <f t="shared" ref="K42:K72" si="12">"2"&amp;IF(H42=4,3,"F")&amp;" "&amp;RIGHT($B$42,2)&amp;" "&amp;"30 "&amp;RIGHT(C42,2)&amp;IF(G42="float"," 00 00 20 40 "," 01 00 00 00")</f>
        <v xml:space="preserve">23 03 30 01 00 00 20 40 </v>
      </c>
      <c r="L42" s="18"/>
    </row>
    <row r="43" spans="1:12" ht="13.9" customHeight="1" x14ac:dyDescent="0.2">
      <c r="A43" s="58"/>
      <c r="B43" s="52"/>
      <c r="C43" s="21" t="str">
        <f t="shared" si="10"/>
        <v>0x02</v>
      </c>
      <c r="D43" s="21" t="s">
        <v>125</v>
      </c>
      <c r="E43" s="3" t="s">
        <v>38</v>
      </c>
      <c r="F43" s="21" t="s">
        <v>108</v>
      </c>
      <c r="G43" s="21" t="s">
        <v>15</v>
      </c>
      <c r="H43" s="21">
        <v>4</v>
      </c>
      <c r="I43" s="21" t="str">
        <f t="shared" si="11"/>
        <v xml:space="preserve">43 03 30 02 00 00 00 00 </v>
      </c>
      <c r="J43" s="21" t="str">
        <f t="shared" si="9"/>
        <v>Set value to 2.5</v>
      </c>
      <c r="K43" s="21" t="str">
        <f t="shared" si="12"/>
        <v xml:space="preserve">23 03 30 02 00 00 20 40 </v>
      </c>
      <c r="L43" s="19"/>
    </row>
    <row r="44" spans="1:12" x14ac:dyDescent="0.2">
      <c r="A44" s="58"/>
      <c r="B44" s="52"/>
      <c r="C44" s="21" t="str">
        <f t="shared" si="10"/>
        <v>0x03</v>
      </c>
      <c r="D44" s="21" t="s">
        <v>125</v>
      </c>
      <c r="E44" s="3" t="s">
        <v>55</v>
      </c>
      <c r="F44" s="21" t="s">
        <v>111</v>
      </c>
      <c r="G44" s="21" t="s">
        <v>15</v>
      </c>
      <c r="H44" s="21">
        <v>4</v>
      </c>
      <c r="I44" s="21" t="str">
        <f t="shared" si="11"/>
        <v xml:space="preserve">43 03 30 03 00 00 00 00 </v>
      </c>
      <c r="J44" s="21" t="str">
        <f t="shared" si="9"/>
        <v>Set value to 2.5</v>
      </c>
      <c r="K44" s="21" t="str">
        <f t="shared" si="12"/>
        <v xml:space="preserve">23 03 30 03 00 00 20 40 </v>
      </c>
      <c r="L44" s="19"/>
    </row>
    <row r="45" spans="1:12" x14ac:dyDescent="0.2">
      <c r="A45" s="58"/>
      <c r="B45" s="52"/>
      <c r="C45" s="21" t="str">
        <f t="shared" si="10"/>
        <v>0x04</v>
      </c>
      <c r="D45" s="21" t="s">
        <v>125</v>
      </c>
      <c r="E45" s="3" t="s">
        <v>56</v>
      </c>
      <c r="F45" s="21" t="s">
        <v>111</v>
      </c>
      <c r="G45" s="21" t="s">
        <v>15</v>
      </c>
      <c r="H45" s="21">
        <v>4</v>
      </c>
      <c r="I45" s="21" t="str">
        <f t="shared" si="11"/>
        <v xml:space="preserve">43 03 30 04 00 00 00 00 </v>
      </c>
      <c r="J45" s="21" t="str">
        <f t="shared" si="9"/>
        <v>Set value to 2.5</v>
      </c>
      <c r="K45" s="21" t="str">
        <f t="shared" si="12"/>
        <v xml:space="preserve">23 03 30 04 00 00 20 40 </v>
      </c>
      <c r="L45" s="19"/>
    </row>
    <row r="46" spans="1:12" x14ac:dyDescent="0.2">
      <c r="A46" s="58"/>
      <c r="B46" s="52"/>
      <c r="C46" s="21" t="str">
        <f t="shared" si="10"/>
        <v>0x05</v>
      </c>
      <c r="D46" s="21" t="s">
        <v>125</v>
      </c>
      <c r="E46" s="3" t="s">
        <v>19</v>
      </c>
      <c r="F46" s="21" t="s">
        <v>111</v>
      </c>
      <c r="G46" s="21" t="s">
        <v>16</v>
      </c>
      <c r="H46" s="21">
        <v>1</v>
      </c>
      <c r="I46" s="21" t="str">
        <f t="shared" si="11"/>
        <v xml:space="preserve">4F 03 30 05 00 00 00 00 </v>
      </c>
      <c r="J46" s="21" t="str">
        <f t="shared" si="9"/>
        <v>set value to    1</v>
      </c>
      <c r="K46" s="21" t="str">
        <f t="shared" si="12"/>
        <v>2F 03 30 05 01 00 00 00</v>
      </c>
      <c r="L46" s="19"/>
    </row>
    <row r="47" spans="1:12" x14ac:dyDescent="0.2">
      <c r="A47" s="58"/>
      <c r="B47" s="52"/>
      <c r="C47" s="21" t="str">
        <f t="shared" si="10"/>
        <v>0x06</v>
      </c>
      <c r="D47" s="21" t="s">
        <v>125</v>
      </c>
      <c r="E47" s="3" t="s">
        <v>21</v>
      </c>
      <c r="F47" s="21" t="s">
        <v>109</v>
      </c>
      <c r="G47" s="21" t="s">
        <v>15</v>
      </c>
      <c r="H47" s="21">
        <v>4</v>
      </c>
      <c r="I47" s="21" t="str">
        <f t="shared" si="11"/>
        <v xml:space="preserve">43 03 30 06 00 00 00 00 </v>
      </c>
      <c r="J47" s="21" t="str">
        <f t="shared" si="9"/>
        <v>Set value to 2.5</v>
      </c>
      <c r="K47" s="21" t="str">
        <f t="shared" si="12"/>
        <v xml:space="preserve">23 03 30 06 00 00 20 40 </v>
      </c>
      <c r="L47" s="19"/>
    </row>
    <row r="48" spans="1:12" x14ac:dyDescent="0.2">
      <c r="A48" s="58"/>
      <c r="B48" s="52"/>
      <c r="C48" s="21" t="str">
        <f t="shared" si="10"/>
        <v>0x07</v>
      </c>
      <c r="D48" s="21" t="s">
        <v>125</v>
      </c>
      <c r="E48" s="3" t="s">
        <v>22</v>
      </c>
      <c r="F48" s="21" t="s">
        <v>109</v>
      </c>
      <c r="G48" s="21" t="s">
        <v>15</v>
      </c>
      <c r="H48" s="21">
        <v>4</v>
      </c>
      <c r="I48" s="21" t="str">
        <f t="shared" si="11"/>
        <v xml:space="preserve">43 03 30 07 00 00 00 00 </v>
      </c>
      <c r="J48" s="21" t="str">
        <f t="shared" si="9"/>
        <v>Set value to 2.5</v>
      </c>
      <c r="K48" s="21" t="str">
        <f t="shared" si="12"/>
        <v xml:space="preserve">23 03 30 07 00 00 20 40 </v>
      </c>
      <c r="L48" s="19"/>
    </row>
    <row r="49" spans="1:12" x14ac:dyDescent="0.2">
      <c r="A49" s="58"/>
      <c r="B49" s="52"/>
      <c r="C49" s="21" t="str">
        <f t="shared" si="10"/>
        <v>0x08</v>
      </c>
      <c r="D49" s="21" t="s">
        <v>125</v>
      </c>
      <c r="E49" s="3" t="s">
        <v>23</v>
      </c>
      <c r="F49" s="21" t="s">
        <v>111</v>
      </c>
      <c r="G49" s="21" t="s">
        <v>60</v>
      </c>
      <c r="H49" s="21">
        <v>4</v>
      </c>
      <c r="I49" s="21" t="str">
        <f t="shared" si="11"/>
        <v xml:space="preserve">43 03 30 08 00 00 00 00 </v>
      </c>
      <c r="J49" s="21" t="str">
        <f t="shared" si="9"/>
        <v>set value to    1</v>
      </c>
      <c r="K49" s="21" t="str">
        <f t="shared" si="12"/>
        <v>23 03 30 08 01 00 00 00</v>
      </c>
      <c r="L49" s="19"/>
    </row>
    <row r="50" spans="1:12" x14ac:dyDescent="0.2">
      <c r="A50" s="58"/>
      <c r="B50" s="52"/>
      <c r="C50" s="21" t="str">
        <f t="shared" si="10"/>
        <v>0x09</v>
      </c>
      <c r="D50" s="21" t="s">
        <v>125</v>
      </c>
      <c r="E50" s="3" t="s">
        <v>24</v>
      </c>
      <c r="F50" s="21" t="s">
        <v>111</v>
      </c>
      <c r="G50" s="21" t="s">
        <v>15</v>
      </c>
      <c r="H50" s="21">
        <v>4</v>
      </c>
      <c r="I50" s="21" t="str">
        <f t="shared" si="11"/>
        <v xml:space="preserve">43 03 30 09 00 00 00 00 </v>
      </c>
      <c r="J50" s="21" t="str">
        <f t="shared" si="9"/>
        <v>Set value to 2.5</v>
      </c>
      <c r="K50" s="21" t="str">
        <f t="shared" si="12"/>
        <v xml:space="preserve">23 03 30 09 00 00 20 40 </v>
      </c>
      <c r="L50" s="19"/>
    </row>
    <row r="51" spans="1:12" x14ac:dyDescent="0.2">
      <c r="A51" s="58"/>
      <c r="B51" s="52"/>
      <c r="C51" s="21" t="str">
        <f t="shared" si="10"/>
        <v>0x0A</v>
      </c>
      <c r="D51" s="21" t="s">
        <v>125</v>
      </c>
      <c r="E51" s="3" t="s">
        <v>50</v>
      </c>
      <c r="F51" s="21" t="s">
        <v>108</v>
      </c>
      <c r="G51" s="21" t="s">
        <v>15</v>
      </c>
      <c r="H51" s="21">
        <v>4</v>
      </c>
      <c r="I51" s="21" t="str">
        <f t="shared" si="11"/>
        <v xml:space="preserve">43 03 30 0A 00 00 00 00 </v>
      </c>
      <c r="J51" s="21" t="str">
        <f t="shared" si="9"/>
        <v>Set value to 2.5</v>
      </c>
      <c r="K51" s="21" t="str">
        <f t="shared" si="12"/>
        <v xml:space="preserve">23 03 30 0A 00 00 20 40 </v>
      </c>
      <c r="L51" s="19"/>
    </row>
    <row r="52" spans="1:12" x14ac:dyDescent="0.2">
      <c r="A52" s="58"/>
      <c r="B52" s="52"/>
      <c r="C52" s="21" t="str">
        <f t="shared" si="10"/>
        <v>0x0B</v>
      </c>
      <c r="D52" s="21" t="s">
        <v>125</v>
      </c>
      <c r="E52" s="3" t="s">
        <v>47</v>
      </c>
      <c r="F52" s="21" t="s">
        <v>108</v>
      </c>
      <c r="G52" s="21" t="s">
        <v>15</v>
      </c>
      <c r="H52" s="21">
        <v>4</v>
      </c>
      <c r="I52" s="21" t="str">
        <f t="shared" si="11"/>
        <v xml:space="preserve">43 03 30 0B 00 00 00 00 </v>
      </c>
      <c r="J52" s="21" t="str">
        <f t="shared" si="9"/>
        <v>Set value to 2.5</v>
      </c>
      <c r="K52" s="21" t="str">
        <f t="shared" si="12"/>
        <v xml:space="preserve">23 03 30 0B 00 00 20 40 </v>
      </c>
      <c r="L52" s="19"/>
    </row>
    <row r="53" spans="1:12" x14ac:dyDescent="0.2">
      <c r="A53" s="58"/>
      <c r="B53" s="52"/>
      <c r="C53" s="21" t="str">
        <f t="shared" si="10"/>
        <v>0x0C</v>
      </c>
      <c r="D53" s="21" t="s">
        <v>125</v>
      </c>
      <c r="E53" s="3" t="s">
        <v>44</v>
      </c>
      <c r="F53" s="21" t="s">
        <v>112</v>
      </c>
      <c r="G53" s="21" t="s">
        <v>15</v>
      </c>
      <c r="H53" s="21">
        <v>4</v>
      </c>
      <c r="I53" s="21" t="str">
        <f t="shared" si="11"/>
        <v xml:space="preserve">43 03 30 0C 00 00 00 00 </v>
      </c>
      <c r="J53" s="21" t="str">
        <f t="shared" si="9"/>
        <v>Set value to 2.5</v>
      </c>
      <c r="K53" s="21" t="str">
        <f t="shared" si="12"/>
        <v xml:space="preserve">23 03 30 0C 00 00 20 40 </v>
      </c>
      <c r="L53" s="19"/>
    </row>
    <row r="54" spans="1:12" x14ac:dyDescent="0.2">
      <c r="A54" s="58"/>
      <c r="B54" s="52"/>
      <c r="C54" s="21" t="str">
        <f t="shared" si="10"/>
        <v>0x0D</v>
      </c>
      <c r="D54" s="21" t="s">
        <v>125</v>
      </c>
      <c r="E54" s="3" t="s">
        <v>48</v>
      </c>
      <c r="F54" s="21" t="s">
        <v>112</v>
      </c>
      <c r="G54" s="21" t="s">
        <v>15</v>
      </c>
      <c r="H54" s="21">
        <v>4</v>
      </c>
      <c r="I54" s="21" t="str">
        <f t="shared" si="11"/>
        <v xml:space="preserve">43 03 30 0D 00 00 00 00 </v>
      </c>
      <c r="J54" s="21" t="str">
        <f t="shared" si="9"/>
        <v>Set value to 2.5</v>
      </c>
      <c r="K54" s="21" t="str">
        <f t="shared" si="12"/>
        <v xml:space="preserve">23 03 30 0D 00 00 20 40 </v>
      </c>
      <c r="L54" s="19"/>
    </row>
    <row r="55" spans="1:12" x14ac:dyDescent="0.2">
      <c r="A55" s="58"/>
      <c r="B55" s="52"/>
      <c r="C55" s="21" t="str">
        <f t="shared" si="10"/>
        <v>0x0E</v>
      </c>
      <c r="D55" s="21" t="s">
        <v>125</v>
      </c>
      <c r="E55" s="3" t="s">
        <v>25</v>
      </c>
      <c r="F55" s="21" t="s">
        <v>108</v>
      </c>
      <c r="G55" s="21" t="s">
        <v>16</v>
      </c>
      <c r="H55" s="21">
        <v>1</v>
      </c>
      <c r="I55" s="21" t="str">
        <f t="shared" si="11"/>
        <v xml:space="preserve">4F 03 30 0E 00 00 00 00 </v>
      </c>
      <c r="J55" s="21" t="str">
        <f t="shared" si="9"/>
        <v>set value to    1</v>
      </c>
      <c r="K55" s="21" t="str">
        <f t="shared" si="12"/>
        <v>2F 03 30 0E 01 00 00 00</v>
      </c>
      <c r="L55" s="19" t="s">
        <v>121</v>
      </c>
    </row>
    <row r="56" spans="1:12" x14ac:dyDescent="0.2">
      <c r="A56" s="58"/>
      <c r="B56" s="52"/>
      <c r="C56" s="21" t="str">
        <f t="shared" si="10"/>
        <v>0x0F</v>
      </c>
      <c r="D56" s="21" t="s">
        <v>125</v>
      </c>
      <c r="E56" s="3" t="s">
        <v>51</v>
      </c>
      <c r="F56" s="21" t="s">
        <v>108</v>
      </c>
      <c r="G56" s="21" t="s">
        <v>16</v>
      </c>
      <c r="H56" s="21">
        <v>1</v>
      </c>
      <c r="I56" s="21" t="str">
        <f t="shared" si="11"/>
        <v xml:space="preserve">4F 03 30 0F 00 00 00 00 </v>
      </c>
      <c r="J56" s="21" t="str">
        <f t="shared" si="9"/>
        <v>set value to    1</v>
      </c>
      <c r="K56" s="21" t="str">
        <f t="shared" si="12"/>
        <v>2F 03 30 0F 01 00 00 00</v>
      </c>
      <c r="L56" s="19" t="s">
        <v>121</v>
      </c>
    </row>
    <row r="57" spans="1:12" x14ac:dyDescent="0.2">
      <c r="A57" s="58"/>
      <c r="B57" s="52"/>
      <c r="C57" s="21" t="str">
        <f t="shared" si="10"/>
        <v>0x10</v>
      </c>
      <c r="D57" s="21" t="s">
        <v>125</v>
      </c>
      <c r="E57" s="3" t="s">
        <v>26</v>
      </c>
      <c r="F57" s="21" t="s">
        <v>108</v>
      </c>
      <c r="G57" s="21" t="s">
        <v>16</v>
      </c>
      <c r="H57" s="21">
        <v>1</v>
      </c>
      <c r="I57" s="21" t="str">
        <f t="shared" si="11"/>
        <v xml:space="preserve">4F 03 30 10 00 00 00 00 </v>
      </c>
      <c r="J57" s="21" t="str">
        <f t="shared" si="9"/>
        <v>set value to    1</v>
      </c>
      <c r="K57" s="21" t="str">
        <f t="shared" si="12"/>
        <v>2F 03 30 10 01 00 00 00</v>
      </c>
      <c r="L57" s="19" t="s">
        <v>121</v>
      </c>
    </row>
    <row r="58" spans="1:12" x14ac:dyDescent="0.2">
      <c r="A58" s="58"/>
      <c r="B58" s="52"/>
      <c r="C58" s="21" t="str">
        <f t="shared" si="10"/>
        <v>0x11</v>
      </c>
      <c r="D58" s="21" t="s">
        <v>125</v>
      </c>
      <c r="E58" s="3" t="s">
        <v>27</v>
      </c>
      <c r="F58" s="21" t="s">
        <v>112</v>
      </c>
      <c r="G58" s="21" t="s">
        <v>16</v>
      </c>
      <c r="H58" s="21">
        <v>1</v>
      </c>
      <c r="I58" s="21" t="str">
        <f t="shared" si="11"/>
        <v xml:space="preserve">4F 03 30 11 00 00 00 00 </v>
      </c>
      <c r="J58" s="21" t="str">
        <f t="shared" si="9"/>
        <v>set value to    1</v>
      </c>
      <c r="K58" s="21" t="str">
        <f t="shared" si="12"/>
        <v>2F 03 30 11 01 00 00 00</v>
      </c>
      <c r="L58" s="19" t="s">
        <v>121</v>
      </c>
    </row>
    <row r="59" spans="1:12" x14ac:dyDescent="0.2">
      <c r="A59" s="58"/>
      <c r="B59" s="52"/>
      <c r="C59" s="21" t="str">
        <f t="shared" si="10"/>
        <v>0x12</v>
      </c>
      <c r="D59" s="21" t="s">
        <v>125</v>
      </c>
      <c r="E59" s="3" t="s">
        <v>28</v>
      </c>
      <c r="F59" s="21" t="s">
        <v>112</v>
      </c>
      <c r="G59" s="21" t="s">
        <v>15</v>
      </c>
      <c r="H59" s="21">
        <v>4</v>
      </c>
      <c r="I59" s="21" t="str">
        <f t="shared" si="11"/>
        <v xml:space="preserve">43 03 30 12 00 00 00 00 </v>
      </c>
      <c r="J59" s="21" t="str">
        <f t="shared" si="9"/>
        <v>Set value to 2.5</v>
      </c>
      <c r="K59" s="21" t="str">
        <f t="shared" si="12"/>
        <v xml:space="preserve">23 03 30 12 00 00 20 40 </v>
      </c>
      <c r="L59" s="19"/>
    </row>
    <row r="60" spans="1:12" x14ac:dyDescent="0.2">
      <c r="A60" s="58"/>
      <c r="B60" s="52"/>
      <c r="C60" s="21" t="str">
        <f t="shared" si="10"/>
        <v>0x13</v>
      </c>
      <c r="D60" s="21" t="s">
        <v>125</v>
      </c>
      <c r="E60" s="3" t="s">
        <v>30</v>
      </c>
      <c r="F60" s="21" t="s">
        <v>113</v>
      </c>
      <c r="G60" s="21" t="s">
        <v>15</v>
      </c>
      <c r="H60" s="21">
        <v>4</v>
      </c>
      <c r="I60" s="21" t="str">
        <f t="shared" si="11"/>
        <v xml:space="preserve">43 03 30 13 00 00 00 00 </v>
      </c>
      <c r="J60" s="21" t="str">
        <f t="shared" si="9"/>
        <v>Set value to 2.5</v>
      </c>
      <c r="K60" s="21" t="str">
        <f t="shared" si="12"/>
        <v xml:space="preserve">23 03 30 13 00 00 20 40 </v>
      </c>
      <c r="L60" s="19"/>
    </row>
    <row r="61" spans="1:12" x14ac:dyDescent="0.2">
      <c r="A61" s="58"/>
      <c r="B61" s="52"/>
      <c r="C61" s="21" t="str">
        <f t="shared" si="10"/>
        <v>0x14</v>
      </c>
      <c r="D61" s="21" t="s">
        <v>125</v>
      </c>
      <c r="E61" s="3" t="s">
        <v>31</v>
      </c>
      <c r="F61" s="21" t="s">
        <v>113</v>
      </c>
      <c r="G61" s="21" t="s">
        <v>15</v>
      </c>
      <c r="H61" s="21">
        <v>4</v>
      </c>
      <c r="I61" s="21" t="str">
        <f t="shared" si="11"/>
        <v xml:space="preserve">43 03 30 14 00 00 00 00 </v>
      </c>
      <c r="J61" s="21" t="str">
        <f t="shared" si="9"/>
        <v>Set value to 2.5</v>
      </c>
      <c r="K61" s="21" t="str">
        <f t="shared" si="12"/>
        <v xml:space="preserve">23 03 30 14 00 00 20 40 </v>
      </c>
      <c r="L61" s="19" t="s">
        <v>119</v>
      </c>
    </row>
    <row r="62" spans="1:12" x14ac:dyDescent="0.2">
      <c r="A62" s="58"/>
      <c r="B62" s="52"/>
      <c r="C62" s="21" t="str">
        <f t="shared" si="10"/>
        <v>0x15</v>
      </c>
      <c r="D62" s="21" t="s">
        <v>125</v>
      </c>
      <c r="E62" s="3" t="s">
        <v>32</v>
      </c>
      <c r="F62" s="21" t="s">
        <v>113</v>
      </c>
      <c r="G62" s="21" t="s">
        <v>15</v>
      </c>
      <c r="H62" s="21">
        <v>4</v>
      </c>
      <c r="I62" s="21" t="str">
        <f t="shared" si="11"/>
        <v xml:space="preserve">43 03 30 15 00 00 00 00 </v>
      </c>
      <c r="J62" s="21" t="str">
        <f t="shared" si="9"/>
        <v>Set value to 2.5</v>
      </c>
      <c r="K62" s="21" t="str">
        <f t="shared" si="12"/>
        <v xml:space="preserve">23 03 30 15 00 00 20 40 </v>
      </c>
      <c r="L62" s="19"/>
    </row>
    <row r="63" spans="1:12" x14ac:dyDescent="0.2">
      <c r="A63" s="58"/>
      <c r="B63" s="52"/>
      <c r="C63" s="21" t="str">
        <f t="shared" si="10"/>
        <v>0x16</v>
      </c>
      <c r="D63" s="21" t="s">
        <v>125</v>
      </c>
      <c r="E63" s="3" t="s">
        <v>33</v>
      </c>
      <c r="F63" s="21" t="s">
        <v>113</v>
      </c>
      <c r="G63" s="21" t="s">
        <v>15</v>
      </c>
      <c r="H63" s="21">
        <v>4</v>
      </c>
      <c r="I63" s="21" t="str">
        <f t="shared" si="11"/>
        <v xml:space="preserve">43 03 30 16 00 00 00 00 </v>
      </c>
      <c r="J63" s="21" t="str">
        <f t="shared" si="9"/>
        <v>Set value to 2.5</v>
      </c>
      <c r="K63" s="21" t="str">
        <f t="shared" si="12"/>
        <v xml:space="preserve">23 03 30 16 00 00 20 40 </v>
      </c>
      <c r="L63" s="19"/>
    </row>
    <row r="64" spans="1:12" x14ac:dyDescent="0.2">
      <c r="A64" s="58"/>
      <c r="B64" s="52"/>
      <c r="C64" s="21" t="str">
        <f t="shared" si="10"/>
        <v>0x17</v>
      </c>
      <c r="D64" s="21" t="s">
        <v>125</v>
      </c>
      <c r="E64" s="3" t="s">
        <v>166</v>
      </c>
      <c r="F64" s="21" t="s">
        <v>112</v>
      </c>
      <c r="G64" s="21" t="s">
        <v>16</v>
      </c>
      <c r="H64" s="21">
        <v>1</v>
      </c>
      <c r="I64" s="21" t="str">
        <f t="shared" si="11"/>
        <v xml:space="preserve">4F 03 30 17 00 00 00 00 </v>
      </c>
      <c r="J64" s="21" t="str">
        <f t="shared" si="9"/>
        <v>set value to    1</v>
      </c>
      <c r="K64" s="21" t="str">
        <f t="shared" si="12"/>
        <v>2F 03 30 17 01 00 00 00</v>
      </c>
      <c r="L64" s="19" t="s">
        <v>121</v>
      </c>
    </row>
    <row r="65" spans="1:12" x14ac:dyDescent="0.2">
      <c r="A65" s="58"/>
      <c r="B65" s="52"/>
      <c r="C65" s="21" t="str">
        <f t="shared" si="10"/>
        <v>0x18</v>
      </c>
      <c r="D65" s="21" t="s">
        <v>125</v>
      </c>
      <c r="E65" s="3" t="s">
        <v>167</v>
      </c>
      <c r="F65" s="21" t="s">
        <v>112</v>
      </c>
      <c r="G65" s="21" t="s">
        <v>15</v>
      </c>
      <c r="H65" s="21">
        <v>4</v>
      </c>
      <c r="I65" s="21" t="str">
        <f t="shared" si="11"/>
        <v xml:space="preserve">43 03 30 18 00 00 00 00 </v>
      </c>
      <c r="J65" s="21" t="str">
        <f t="shared" si="9"/>
        <v>Set value to 2.5</v>
      </c>
      <c r="K65" s="21" t="str">
        <f t="shared" si="12"/>
        <v xml:space="preserve">23 03 30 18 00 00 20 40 </v>
      </c>
      <c r="L65" s="19"/>
    </row>
    <row r="66" spans="1:12" x14ac:dyDescent="0.2">
      <c r="A66" s="58"/>
      <c r="B66" s="52"/>
      <c r="C66" s="21" t="str">
        <f t="shared" si="10"/>
        <v>0x19</v>
      </c>
      <c r="D66" s="21" t="s">
        <v>125</v>
      </c>
      <c r="E66" s="3" t="s">
        <v>168</v>
      </c>
      <c r="F66" s="21" t="s">
        <v>111</v>
      </c>
      <c r="G66" s="21" t="s">
        <v>15</v>
      </c>
      <c r="H66" s="21">
        <v>4</v>
      </c>
      <c r="I66" s="21" t="str">
        <f t="shared" si="11"/>
        <v xml:space="preserve">43 03 30 19 00 00 00 00 </v>
      </c>
      <c r="J66" s="21" t="str">
        <f t="shared" si="9"/>
        <v>Set value to 2.5</v>
      </c>
      <c r="K66" s="21" t="str">
        <f t="shared" si="12"/>
        <v xml:space="preserve">23 03 30 19 00 00 20 40 </v>
      </c>
      <c r="L66" s="19"/>
    </row>
    <row r="67" spans="1:12" x14ac:dyDescent="0.2">
      <c r="A67" s="58"/>
      <c r="B67" s="52"/>
      <c r="C67" s="21" t="str">
        <f t="shared" si="10"/>
        <v>0x1A</v>
      </c>
      <c r="D67" s="21" t="s">
        <v>125</v>
      </c>
      <c r="E67" s="3" t="s">
        <v>169</v>
      </c>
      <c r="F67" s="21" t="s">
        <v>112</v>
      </c>
      <c r="G67" s="21" t="s">
        <v>15</v>
      </c>
      <c r="H67" s="21">
        <v>4</v>
      </c>
      <c r="I67" s="21" t="str">
        <f t="shared" si="11"/>
        <v xml:space="preserve">43 03 30 1A 00 00 00 00 </v>
      </c>
      <c r="J67" s="21" t="str">
        <f t="shared" si="9"/>
        <v>Set value to 2.5</v>
      </c>
      <c r="K67" s="21" t="str">
        <f t="shared" si="12"/>
        <v xml:space="preserve">23 03 30 1A 00 00 20 40 </v>
      </c>
      <c r="L67" s="19"/>
    </row>
    <row r="68" spans="1:12" x14ac:dyDescent="0.2">
      <c r="A68" s="58"/>
      <c r="B68" s="52"/>
      <c r="C68" s="21" t="str">
        <f t="shared" si="10"/>
        <v>0x1B</v>
      </c>
      <c r="D68" s="21" t="s">
        <v>125</v>
      </c>
      <c r="E68" s="3" t="s">
        <v>170</v>
      </c>
      <c r="F68" s="21" t="s">
        <v>112</v>
      </c>
      <c r="G68" s="21" t="s">
        <v>16</v>
      </c>
      <c r="H68" s="21">
        <v>1</v>
      </c>
      <c r="I68" s="21" t="str">
        <f t="shared" si="11"/>
        <v xml:space="preserve">4F 03 30 1B 00 00 00 00 </v>
      </c>
      <c r="J68" s="21" t="str">
        <f t="shared" si="9"/>
        <v>set value to    1</v>
      </c>
      <c r="K68" s="21" t="str">
        <f t="shared" si="12"/>
        <v>2F 03 30 1B 01 00 00 00</v>
      </c>
      <c r="L68" s="19" t="s">
        <v>121</v>
      </c>
    </row>
    <row r="69" spans="1:12" x14ac:dyDescent="0.2">
      <c r="A69" s="58"/>
      <c r="B69" s="52"/>
      <c r="C69" s="21" t="str">
        <f t="shared" si="10"/>
        <v>0x1C</v>
      </c>
      <c r="D69" s="21" t="s">
        <v>125</v>
      </c>
      <c r="E69" s="3" t="s">
        <v>171</v>
      </c>
      <c r="F69" s="21" t="s">
        <v>112</v>
      </c>
      <c r="G69" s="21" t="s">
        <v>15</v>
      </c>
      <c r="H69" s="21">
        <v>4</v>
      </c>
      <c r="I69" s="21" t="str">
        <f t="shared" si="11"/>
        <v xml:space="preserve">43 03 30 1C 00 00 00 00 </v>
      </c>
      <c r="J69" s="21" t="str">
        <f t="shared" si="9"/>
        <v>Set value to 2.5</v>
      </c>
      <c r="K69" s="21" t="str">
        <f t="shared" si="12"/>
        <v xml:space="preserve">23 03 30 1C 00 00 20 40 </v>
      </c>
      <c r="L69" s="19"/>
    </row>
    <row r="70" spans="1:12" x14ac:dyDescent="0.2">
      <c r="A70" s="58"/>
      <c r="B70" s="52"/>
      <c r="C70" s="21" t="str">
        <f t="shared" si="10"/>
        <v>0x1D</v>
      </c>
      <c r="D70" s="21" t="s">
        <v>125</v>
      </c>
      <c r="E70" s="3" t="s">
        <v>172</v>
      </c>
      <c r="F70" s="21" t="s">
        <v>111</v>
      </c>
      <c r="G70" s="21" t="s">
        <v>15</v>
      </c>
      <c r="H70" s="21">
        <v>4</v>
      </c>
      <c r="I70" s="21" t="str">
        <f t="shared" si="11"/>
        <v xml:space="preserve">43 03 30 1D 00 00 00 00 </v>
      </c>
      <c r="J70" s="21" t="str">
        <f t="shared" si="9"/>
        <v>Set value to 2.5</v>
      </c>
      <c r="K70" s="21" t="str">
        <f t="shared" si="12"/>
        <v xml:space="preserve">23 03 30 1D 00 00 20 40 </v>
      </c>
      <c r="L70" s="19"/>
    </row>
    <row r="71" spans="1:12" x14ac:dyDescent="0.2">
      <c r="A71" s="58"/>
      <c r="B71" s="52"/>
      <c r="C71" s="21" t="str">
        <f t="shared" si="10"/>
        <v>0x1E</v>
      </c>
      <c r="D71" s="21" t="s">
        <v>125</v>
      </c>
      <c r="E71" s="3" t="s">
        <v>173</v>
      </c>
      <c r="F71" s="21" t="s">
        <v>112</v>
      </c>
      <c r="G71" s="21" t="s">
        <v>15</v>
      </c>
      <c r="H71" s="21">
        <v>4</v>
      </c>
      <c r="I71" s="21" t="str">
        <f t="shared" si="11"/>
        <v xml:space="preserve">43 03 30 1E 00 00 00 00 </v>
      </c>
      <c r="J71" s="21" t="str">
        <f t="shared" si="9"/>
        <v>Set value to 2.5</v>
      </c>
      <c r="K71" s="21" t="str">
        <f t="shared" si="12"/>
        <v xml:space="preserve">23 03 30 1E 00 00 20 40 </v>
      </c>
      <c r="L71" s="19"/>
    </row>
    <row r="72" spans="1:12" x14ac:dyDescent="0.2">
      <c r="A72" s="59"/>
      <c r="B72" s="53"/>
      <c r="C72" s="25" t="str">
        <f t="shared" si="10"/>
        <v>0x1F</v>
      </c>
      <c r="D72" s="25" t="s">
        <v>125</v>
      </c>
      <c r="E72" s="3" t="s">
        <v>174</v>
      </c>
      <c r="F72" s="21" t="s">
        <v>112</v>
      </c>
      <c r="G72" s="21" t="s">
        <v>15</v>
      </c>
      <c r="H72" s="21">
        <v>4</v>
      </c>
      <c r="I72" s="21" t="str">
        <f t="shared" si="11"/>
        <v xml:space="preserve">43 03 30 1F 00 00 00 00 </v>
      </c>
      <c r="J72" s="25" t="str">
        <f t="shared" si="9"/>
        <v>Set value to 2.5</v>
      </c>
      <c r="K72" s="21" t="str">
        <f t="shared" si="12"/>
        <v xml:space="preserve">23 03 30 1F 00 00 20 40 </v>
      </c>
      <c r="L72" s="19"/>
    </row>
    <row r="73" spans="1:12" ht="13.9" customHeight="1" x14ac:dyDescent="0.2">
      <c r="A73" s="57" t="s">
        <v>35</v>
      </c>
      <c r="B73" s="51" t="s">
        <v>128</v>
      </c>
      <c r="C73" s="7" t="str">
        <f t="shared" ref="C73:C86" si="13">"0x"&amp;DEC2HEX(ROW()-ROW($A$73)+1,2)</f>
        <v>0x01</v>
      </c>
      <c r="D73" s="7" t="s">
        <v>125</v>
      </c>
      <c r="E73" s="5" t="s">
        <v>36</v>
      </c>
      <c r="F73" s="7" t="s">
        <v>113</v>
      </c>
      <c r="G73" s="7" t="s">
        <v>15</v>
      </c>
      <c r="H73" s="7">
        <v>4</v>
      </c>
      <c r="I73" s="7" t="str">
        <f t="shared" ref="I73:I86" si="14">"4"&amp;IF(H73=4,3,"F")&amp;" "&amp;RIGHT($B$73,2)&amp;" "&amp;"30 "&amp;RIGHT(C73,2)&amp;" 00 00 00 00 "</f>
        <v xml:space="preserve">43 04 30 01 00 00 00 00 </v>
      </c>
      <c r="J73" s="21" t="str">
        <f t="shared" si="9"/>
        <v>Set value to 2.5</v>
      </c>
      <c r="K73" s="7" t="str">
        <f t="shared" ref="K73:K86" si="15">"2"&amp;IF(H73=4,3,"F")&amp;" "&amp;RIGHT($B$73,2)&amp;" "&amp;"30 "&amp;RIGHT(C73,2)&amp;IF(G73="float"," 00 00 20 40 "," 01 00 00 00")</f>
        <v xml:space="preserve">23 04 30 01 00 00 20 40 </v>
      </c>
      <c r="L73" s="18"/>
    </row>
    <row r="74" spans="1:12" x14ac:dyDescent="0.2">
      <c r="A74" s="58"/>
      <c r="B74" s="52"/>
      <c r="C74" s="21" t="str">
        <f t="shared" si="13"/>
        <v>0x02</v>
      </c>
      <c r="D74" s="21" t="s">
        <v>125</v>
      </c>
      <c r="E74" s="3" t="s">
        <v>37</v>
      </c>
      <c r="F74" s="21" t="s">
        <v>113</v>
      </c>
      <c r="G74" s="21" t="s">
        <v>15</v>
      </c>
      <c r="H74" s="21">
        <v>4</v>
      </c>
      <c r="I74" s="21" t="str">
        <f t="shared" si="14"/>
        <v xml:space="preserve">43 04 30 02 00 00 00 00 </v>
      </c>
      <c r="J74" s="21" t="str">
        <f t="shared" si="9"/>
        <v>Set value to 2.5</v>
      </c>
      <c r="K74" s="21" t="str">
        <f t="shared" si="15"/>
        <v xml:space="preserve">23 04 30 02 00 00 20 40 </v>
      </c>
      <c r="L74" s="19"/>
    </row>
    <row r="75" spans="1:12" x14ac:dyDescent="0.2">
      <c r="A75" s="58"/>
      <c r="B75" s="52"/>
      <c r="C75" s="21" t="str">
        <f t="shared" si="13"/>
        <v>0x03</v>
      </c>
      <c r="D75" s="21" t="s">
        <v>125</v>
      </c>
      <c r="E75" s="3" t="s">
        <v>57</v>
      </c>
      <c r="F75" s="21" t="s">
        <v>112</v>
      </c>
      <c r="G75" s="21" t="s">
        <v>15</v>
      </c>
      <c r="H75" s="21">
        <v>4</v>
      </c>
      <c r="I75" s="21" t="str">
        <f t="shared" si="14"/>
        <v xml:space="preserve">43 04 30 03 00 00 00 00 </v>
      </c>
      <c r="J75" s="21" t="str">
        <f t="shared" si="9"/>
        <v>Set value to 2.5</v>
      </c>
      <c r="K75" s="21" t="str">
        <f t="shared" si="15"/>
        <v xml:space="preserve">23 04 30 03 00 00 20 40 </v>
      </c>
      <c r="L75" s="19"/>
    </row>
    <row r="76" spans="1:12" x14ac:dyDescent="0.2">
      <c r="A76" s="58"/>
      <c r="B76" s="52"/>
      <c r="C76" s="21" t="str">
        <f t="shared" si="13"/>
        <v>0x04</v>
      </c>
      <c r="D76" s="21" t="s">
        <v>125</v>
      </c>
      <c r="E76" s="3" t="s">
        <v>58</v>
      </c>
      <c r="F76" s="21" t="s">
        <v>112</v>
      </c>
      <c r="G76" s="21" t="s">
        <v>15</v>
      </c>
      <c r="H76" s="21">
        <v>4</v>
      </c>
      <c r="I76" s="21" t="str">
        <f t="shared" si="14"/>
        <v xml:space="preserve">43 04 30 04 00 00 00 00 </v>
      </c>
      <c r="J76" s="21" t="str">
        <f t="shared" si="9"/>
        <v>Set value to 2.5</v>
      </c>
      <c r="K76" s="21" t="str">
        <f t="shared" si="15"/>
        <v xml:space="preserve">23 04 30 04 00 00 20 40 </v>
      </c>
      <c r="L76" s="19"/>
    </row>
    <row r="77" spans="1:12" x14ac:dyDescent="0.2">
      <c r="A77" s="58"/>
      <c r="B77" s="52"/>
      <c r="C77" s="21" t="str">
        <f t="shared" si="13"/>
        <v>0x05</v>
      </c>
      <c r="D77" s="21" t="s">
        <v>125</v>
      </c>
      <c r="E77" s="3" t="s">
        <v>39</v>
      </c>
      <c r="F77" s="21" t="s">
        <v>112</v>
      </c>
      <c r="G77" s="21" t="s">
        <v>16</v>
      </c>
      <c r="H77" s="21">
        <v>1</v>
      </c>
      <c r="I77" s="21" t="str">
        <f t="shared" si="14"/>
        <v xml:space="preserve">4F 04 30 05 00 00 00 00 </v>
      </c>
      <c r="J77" s="21" t="str">
        <f t="shared" si="9"/>
        <v>set value to    1</v>
      </c>
      <c r="K77" s="21" t="str">
        <f t="shared" si="15"/>
        <v>2F 04 30 05 01 00 00 00</v>
      </c>
      <c r="L77" s="19" t="s">
        <v>121</v>
      </c>
    </row>
    <row r="78" spans="1:12" x14ac:dyDescent="0.2">
      <c r="A78" s="58"/>
      <c r="B78" s="52"/>
      <c r="C78" s="21" t="str">
        <f t="shared" si="13"/>
        <v>0x06</v>
      </c>
      <c r="D78" s="21" t="s">
        <v>125</v>
      </c>
      <c r="E78" s="3" t="s">
        <v>45</v>
      </c>
      <c r="F78" s="21" t="s">
        <v>113</v>
      </c>
      <c r="G78" s="21" t="s">
        <v>15</v>
      </c>
      <c r="H78" s="21">
        <v>4</v>
      </c>
      <c r="I78" s="21" t="str">
        <f t="shared" si="14"/>
        <v xml:space="preserve">43 04 30 06 00 00 00 00 </v>
      </c>
      <c r="J78" s="21" t="str">
        <f t="shared" si="9"/>
        <v>Set value to 2.5</v>
      </c>
      <c r="K78" s="21" t="str">
        <f t="shared" si="15"/>
        <v xml:space="preserve">23 04 30 06 00 00 20 40 </v>
      </c>
      <c r="L78" s="19"/>
    </row>
    <row r="79" spans="1:12" x14ac:dyDescent="0.2">
      <c r="A79" s="58"/>
      <c r="B79" s="52"/>
      <c r="C79" s="21" t="str">
        <f t="shared" si="13"/>
        <v>0x07</v>
      </c>
      <c r="D79" s="21" t="s">
        <v>125</v>
      </c>
      <c r="E79" s="3" t="s">
        <v>49</v>
      </c>
      <c r="F79" s="21" t="s">
        <v>113</v>
      </c>
      <c r="G79" s="21" t="s">
        <v>15</v>
      </c>
      <c r="H79" s="21">
        <v>4</v>
      </c>
      <c r="I79" s="21" t="str">
        <f t="shared" si="14"/>
        <v xml:space="preserve">43 04 30 07 00 00 00 00 </v>
      </c>
      <c r="J79" s="21" t="str">
        <f t="shared" si="9"/>
        <v>Set value to 2.5</v>
      </c>
      <c r="K79" s="21" t="str">
        <f t="shared" si="15"/>
        <v xml:space="preserve">23 04 30 07 00 00 20 40 </v>
      </c>
      <c r="L79" s="19"/>
    </row>
    <row r="80" spans="1:12" x14ac:dyDescent="0.2">
      <c r="A80" s="58"/>
      <c r="B80" s="52"/>
      <c r="C80" s="21" t="str">
        <f t="shared" si="13"/>
        <v>0x08</v>
      </c>
      <c r="D80" s="21" t="s">
        <v>125</v>
      </c>
      <c r="E80" s="3" t="s">
        <v>40</v>
      </c>
      <c r="F80" s="21" t="s">
        <v>113</v>
      </c>
      <c r="G80" s="21" t="s">
        <v>16</v>
      </c>
      <c r="H80" s="21">
        <v>1</v>
      </c>
      <c r="I80" s="21" t="str">
        <f t="shared" si="14"/>
        <v xml:space="preserve">4F 04 30 08 00 00 00 00 </v>
      </c>
      <c r="J80" s="21" t="str">
        <f t="shared" si="9"/>
        <v>set value to    1</v>
      </c>
      <c r="K80" s="21" t="str">
        <f t="shared" si="15"/>
        <v>2F 04 30 08 01 00 00 00</v>
      </c>
      <c r="L80" s="19" t="s">
        <v>121</v>
      </c>
    </row>
    <row r="81" spans="1:12" x14ac:dyDescent="0.2">
      <c r="A81" s="58"/>
      <c r="B81" s="52"/>
      <c r="C81" s="21" t="str">
        <f t="shared" si="13"/>
        <v>0x09</v>
      </c>
      <c r="D81" s="21" t="s">
        <v>125</v>
      </c>
      <c r="E81" s="3" t="s">
        <v>59</v>
      </c>
      <c r="F81" s="21" t="s">
        <v>113</v>
      </c>
      <c r="G81" s="21" t="s">
        <v>16</v>
      </c>
      <c r="H81" s="21">
        <v>1</v>
      </c>
      <c r="I81" s="21" t="str">
        <f t="shared" si="14"/>
        <v xml:space="preserve">4F 04 30 09 00 00 00 00 </v>
      </c>
      <c r="J81" s="21" t="str">
        <f t="shared" si="9"/>
        <v>set value to    1</v>
      </c>
      <c r="K81" s="21" t="str">
        <f t="shared" si="15"/>
        <v>2F 04 30 09 01 00 00 00</v>
      </c>
      <c r="L81" s="19" t="s">
        <v>121</v>
      </c>
    </row>
    <row r="82" spans="1:12" x14ac:dyDescent="0.2">
      <c r="A82" s="58"/>
      <c r="B82" s="52"/>
      <c r="C82" s="21" t="str">
        <f t="shared" si="13"/>
        <v>0x0A</v>
      </c>
      <c r="D82" s="21" t="s">
        <v>125</v>
      </c>
      <c r="E82" s="3" t="s">
        <v>41</v>
      </c>
      <c r="F82" s="21" t="s">
        <v>113</v>
      </c>
      <c r="G82" s="21" t="s">
        <v>16</v>
      </c>
      <c r="H82" s="21">
        <v>1</v>
      </c>
      <c r="I82" s="21" t="str">
        <f t="shared" si="14"/>
        <v xml:space="preserve">4F 04 30 0A 00 00 00 00 </v>
      </c>
      <c r="J82" s="21" t="str">
        <f t="shared" si="9"/>
        <v>set value to    1</v>
      </c>
      <c r="K82" s="21" t="str">
        <f t="shared" si="15"/>
        <v>2F 04 30 0A 01 00 00 00</v>
      </c>
      <c r="L82" s="19" t="s">
        <v>121</v>
      </c>
    </row>
    <row r="83" spans="1:12" x14ac:dyDescent="0.2">
      <c r="A83" s="58"/>
      <c r="B83" s="52"/>
      <c r="C83" s="21" t="str">
        <f t="shared" si="13"/>
        <v>0x0B</v>
      </c>
      <c r="D83" s="21" t="s">
        <v>125</v>
      </c>
      <c r="E83" s="3" t="s">
        <v>175</v>
      </c>
      <c r="F83" s="21" t="s">
        <v>108</v>
      </c>
      <c r="G83" s="21" t="s">
        <v>16</v>
      </c>
      <c r="H83" s="21">
        <v>1</v>
      </c>
      <c r="I83" s="21" t="str">
        <f t="shared" si="14"/>
        <v xml:space="preserve">4F 04 30 0B 00 00 00 00 </v>
      </c>
      <c r="J83" s="21" t="str">
        <f t="shared" si="9"/>
        <v>set value to    1</v>
      </c>
      <c r="K83" s="21" t="str">
        <f t="shared" si="15"/>
        <v>2F 04 30 0B 01 00 00 00</v>
      </c>
      <c r="L83" s="19" t="s">
        <v>121</v>
      </c>
    </row>
    <row r="84" spans="1:12" x14ac:dyDescent="0.2">
      <c r="A84" s="58"/>
      <c r="B84" s="52"/>
      <c r="C84" s="21" t="str">
        <f t="shared" si="13"/>
        <v>0x0C</v>
      </c>
      <c r="D84" s="21" t="s">
        <v>125</v>
      </c>
      <c r="E84" s="3" t="s">
        <v>176</v>
      </c>
      <c r="F84" s="21" t="s">
        <v>108</v>
      </c>
      <c r="G84" s="21" t="s">
        <v>15</v>
      </c>
      <c r="H84" s="21">
        <v>4</v>
      </c>
      <c r="I84" s="21" t="str">
        <f t="shared" si="14"/>
        <v xml:space="preserve">43 04 30 0C 00 00 00 00 </v>
      </c>
      <c r="J84" s="21" t="str">
        <f t="shared" si="9"/>
        <v>Set value to 2.5</v>
      </c>
      <c r="K84" s="21" t="str">
        <f t="shared" si="15"/>
        <v xml:space="preserve">23 04 30 0C 00 00 20 40 </v>
      </c>
      <c r="L84" s="19"/>
    </row>
    <row r="85" spans="1:12" x14ac:dyDescent="0.2">
      <c r="A85" s="58"/>
      <c r="B85" s="52"/>
      <c r="C85" s="21" t="str">
        <f t="shared" si="13"/>
        <v>0x0D</v>
      </c>
      <c r="D85" s="21" t="s">
        <v>125</v>
      </c>
      <c r="E85" s="3" t="s">
        <v>177</v>
      </c>
      <c r="F85" s="21" t="s">
        <v>110</v>
      </c>
      <c r="G85" s="21" t="s">
        <v>15</v>
      </c>
      <c r="H85" s="21">
        <v>4</v>
      </c>
      <c r="I85" s="21" t="str">
        <f t="shared" si="14"/>
        <v xml:space="preserve">43 04 30 0D 00 00 00 00 </v>
      </c>
      <c r="J85" s="21" t="str">
        <f t="shared" si="9"/>
        <v>Set value to 2.5</v>
      </c>
      <c r="K85" s="21" t="str">
        <f t="shared" si="15"/>
        <v xml:space="preserve">23 04 30 0D 00 00 20 40 </v>
      </c>
      <c r="L85" s="19"/>
    </row>
    <row r="86" spans="1:12" x14ac:dyDescent="0.2">
      <c r="A86" s="59"/>
      <c r="B86" s="53"/>
      <c r="C86" s="25" t="str">
        <f t="shared" si="13"/>
        <v>0x0E</v>
      </c>
      <c r="D86" s="21" t="s">
        <v>125</v>
      </c>
      <c r="E86" s="3" t="s">
        <v>178</v>
      </c>
      <c r="F86" s="21" t="s">
        <v>108</v>
      </c>
      <c r="G86" s="21" t="s">
        <v>15</v>
      </c>
      <c r="H86" s="21">
        <v>4</v>
      </c>
      <c r="I86" s="21" t="str">
        <f t="shared" si="14"/>
        <v xml:space="preserve">43 04 30 0E 00 00 00 00 </v>
      </c>
      <c r="J86" s="21" t="str">
        <f t="shared" si="9"/>
        <v>Set value to 2.5</v>
      </c>
      <c r="K86" s="21" t="str">
        <f t="shared" si="15"/>
        <v xml:space="preserve">23 04 30 0E 00 00 20 40 </v>
      </c>
      <c r="L86" s="19"/>
    </row>
    <row r="87" spans="1:12" ht="16.899999999999999" customHeight="1" x14ac:dyDescent="0.2">
      <c r="A87" s="57" t="s">
        <v>61</v>
      </c>
      <c r="B87" s="51" t="s">
        <v>129</v>
      </c>
      <c r="C87" s="21" t="str">
        <f t="shared" ref="C87:C93" si="16">"0x"&amp;DEC2HEX(ROW()-ROW($A$87)+1,2)</f>
        <v>0x01</v>
      </c>
      <c r="D87" s="7" t="s">
        <v>125</v>
      </c>
      <c r="E87" s="5" t="s">
        <v>62</v>
      </c>
      <c r="F87" s="7" t="s">
        <v>113</v>
      </c>
      <c r="G87" s="7" t="s">
        <v>15</v>
      </c>
      <c r="H87" s="7">
        <v>4</v>
      </c>
      <c r="I87" s="7" t="str">
        <f t="shared" ref="I87:I93" si="17">"4"&amp;IF(H87=4,3,"F")&amp;" "&amp;RIGHT($B$87,2)&amp;" "&amp;"30 "&amp;RIGHT(C87,2)&amp;" 00 00 00 00 "</f>
        <v xml:space="preserve">43 05 30 01 00 00 00 00 </v>
      </c>
      <c r="J87" s="21" t="str">
        <f t="shared" si="9"/>
        <v>Set value to 2.5</v>
      </c>
      <c r="K87" s="7" t="str">
        <f t="shared" ref="K87:K93" si="18">"2"&amp;IF(H87=4,3,"F")&amp;" "&amp;RIGHT($B$87,2)&amp;" "&amp;"30 "&amp;RIGHT(C87,2)&amp;IF(G87="float"," 00 00 20 40 "," 01 00 00 00")</f>
        <v xml:space="preserve">23 05 30 01 00 00 20 40 </v>
      </c>
      <c r="L87" s="18"/>
    </row>
    <row r="88" spans="1:12" ht="16.899999999999999" customHeight="1" x14ac:dyDescent="0.2">
      <c r="A88" s="58"/>
      <c r="B88" s="52"/>
      <c r="C88" s="21" t="str">
        <f t="shared" si="16"/>
        <v>0x02</v>
      </c>
      <c r="D88" s="21" t="s">
        <v>125</v>
      </c>
      <c r="E88" s="3" t="s">
        <v>63</v>
      </c>
      <c r="F88" s="21" t="s">
        <v>113</v>
      </c>
      <c r="G88" s="21" t="s">
        <v>15</v>
      </c>
      <c r="H88" s="21">
        <v>4</v>
      </c>
      <c r="I88" s="21" t="str">
        <f t="shared" si="17"/>
        <v xml:space="preserve">43 05 30 02 00 00 00 00 </v>
      </c>
      <c r="J88" s="21" t="str">
        <f t="shared" si="9"/>
        <v>Set value to 2.5</v>
      </c>
      <c r="K88" s="21" t="str">
        <f t="shared" si="18"/>
        <v xml:space="preserve">23 05 30 02 00 00 20 40 </v>
      </c>
      <c r="L88" s="19"/>
    </row>
    <row r="89" spans="1:12" ht="16.899999999999999" customHeight="1" x14ac:dyDescent="0.2">
      <c r="A89" s="58"/>
      <c r="B89" s="52"/>
      <c r="C89" s="21" t="str">
        <f t="shared" si="16"/>
        <v>0x03</v>
      </c>
      <c r="D89" s="21" t="s">
        <v>125</v>
      </c>
      <c r="E89" s="3" t="s">
        <v>64</v>
      </c>
      <c r="F89" s="21" t="s">
        <v>113</v>
      </c>
      <c r="G89" s="21" t="s">
        <v>15</v>
      </c>
      <c r="H89" s="21">
        <v>4</v>
      </c>
      <c r="I89" s="21" t="str">
        <f t="shared" si="17"/>
        <v xml:space="preserve">43 05 30 03 00 00 00 00 </v>
      </c>
      <c r="J89" s="21" t="str">
        <f t="shared" si="9"/>
        <v>Set value to 2.5</v>
      </c>
      <c r="K89" s="21" t="str">
        <f t="shared" si="18"/>
        <v xml:space="preserve">23 05 30 03 00 00 20 40 </v>
      </c>
      <c r="L89" s="19"/>
    </row>
    <row r="90" spans="1:12" ht="16.899999999999999" customHeight="1" x14ac:dyDescent="0.2">
      <c r="A90" s="58"/>
      <c r="B90" s="52"/>
      <c r="C90" s="21" t="str">
        <f t="shared" si="16"/>
        <v>0x04</v>
      </c>
      <c r="D90" s="21" t="s">
        <v>125</v>
      </c>
      <c r="E90" s="3" t="s">
        <v>65</v>
      </c>
      <c r="F90" s="21" t="s">
        <v>113</v>
      </c>
      <c r="G90" s="21" t="s">
        <v>15</v>
      </c>
      <c r="H90" s="21">
        <v>4</v>
      </c>
      <c r="I90" s="21" t="str">
        <f t="shared" si="17"/>
        <v xml:space="preserve">43 05 30 04 00 00 00 00 </v>
      </c>
      <c r="J90" s="21" t="str">
        <f t="shared" si="9"/>
        <v>Set value to 2.5</v>
      </c>
      <c r="K90" s="21" t="str">
        <f t="shared" si="18"/>
        <v xml:space="preserve">23 05 30 04 00 00 20 40 </v>
      </c>
      <c r="L90" s="19"/>
    </row>
    <row r="91" spans="1:12" ht="16.899999999999999" customHeight="1" x14ac:dyDescent="0.2">
      <c r="A91" s="58"/>
      <c r="B91" s="52"/>
      <c r="C91" s="21" t="str">
        <f t="shared" si="16"/>
        <v>0x05</v>
      </c>
      <c r="D91" s="21" t="s">
        <v>125</v>
      </c>
      <c r="E91" s="3" t="s">
        <v>66</v>
      </c>
      <c r="F91" s="21" t="s">
        <v>113</v>
      </c>
      <c r="G91" s="21" t="s">
        <v>16</v>
      </c>
      <c r="H91" s="21">
        <v>1</v>
      </c>
      <c r="I91" s="21" t="str">
        <f t="shared" si="17"/>
        <v xml:space="preserve">4F 05 30 05 00 00 00 00 </v>
      </c>
      <c r="J91" s="21" t="str">
        <f t="shared" si="9"/>
        <v>set value to    1</v>
      </c>
      <c r="K91" s="21" t="str">
        <f t="shared" si="18"/>
        <v>2F 05 30 05 01 00 00 00</v>
      </c>
      <c r="L91" s="19" t="s">
        <v>121</v>
      </c>
    </row>
    <row r="92" spans="1:12" ht="16.899999999999999" customHeight="1" x14ac:dyDescent="0.2">
      <c r="A92" s="58"/>
      <c r="B92" s="52"/>
      <c r="C92" s="21" t="str">
        <f t="shared" si="16"/>
        <v>0x06</v>
      </c>
      <c r="D92" s="21" t="s">
        <v>125</v>
      </c>
      <c r="E92" s="3" t="s">
        <v>67</v>
      </c>
      <c r="F92" s="21" t="s">
        <v>113</v>
      </c>
      <c r="G92" s="21" t="s">
        <v>16</v>
      </c>
      <c r="H92" s="21">
        <v>1</v>
      </c>
      <c r="I92" s="21" t="str">
        <f t="shared" si="17"/>
        <v xml:space="preserve">4F 05 30 06 00 00 00 00 </v>
      </c>
      <c r="J92" s="21" t="str">
        <f t="shared" si="9"/>
        <v>set value to    1</v>
      </c>
      <c r="K92" s="21" t="str">
        <f t="shared" si="18"/>
        <v>2F 05 30 06 01 00 00 00</v>
      </c>
      <c r="L92" s="19" t="s">
        <v>121</v>
      </c>
    </row>
    <row r="93" spans="1:12" ht="16.899999999999999" customHeight="1" x14ac:dyDescent="0.2">
      <c r="A93" s="58"/>
      <c r="B93" s="52"/>
      <c r="C93" s="21" t="str">
        <f t="shared" si="16"/>
        <v>0x07</v>
      </c>
      <c r="D93" s="21" t="s">
        <v>125</v>
      </c>
      <c r="E93" s="3" t="s">
        <v>68</v>
      </c>
      <c r="F93" s="21" t="s">
        <v>113</v>
      </c>
      <c r="G93" s="21" t="s">
        <v>16</v>
      </c>
      <c r="H93" s="21">
        <v>1</v>
      </c>
      <c r="I93" s="21" t="str">
        <f t="shared" si="17"/>
        <v xml:space="preserve">4F 05 30 07 00 00 00 00 </v>
      </c>
      <c r="J93" s="21" t="str">
        <f t="shared" si="9"/>
        <v>set value to    1</v>
      </c>
      <c r="K93" s="21" t="str">
        <f t="shared" si="18"/>
        <v>2F 05 30 07 01 00 00 00</v>
      </c>
      <c r="L93" s="19" t="s">
        <v>121</v>
      </c>
    </row>
    <row r="94" spans="1:12" ht="150.6" customHeight="1" x14ac:dyDescent="0.2">
      <c r="A94" s="24" t="s">
        <v>69</v>
      </c>
      <c r="B94" s="23" t="s">
        <v>130</v>
      </c>
      <c r="C94" s="25" t="s">
        <v>2</v>
      </c>
      <c r="D94" s="21" t="s">
        <v>125</v>
      </c>
      <c r="E94" s="4" t="s">
        <v>5</v>
      </c>
      <c r="F94" s="25" t="s">
        <v>108</v>
      </c>
      <c r="G94" s="25" t="s">
        <v>60</v>
      </c>
      <c r="H94" s="25">
        <v>4</v>
      </c>
      <c r="I94" s="25" t="str">
        <f>"4"&amp;IF(H94=4,3,"F")&amp;" "&amp;RIGHT($B$94,2)&amp;" "&amp;"30 "&amp;RIGHT(C94,2)&amp;" 00 00 00 00 "</f>
        <v xml:space="preserve">43 06 30 01 00 00 00 00 </v>
      </c>
      <c r="J94" s="6" t="str">
        <f t="shared" si="9"/>
        <v>set value to    1</v>
      </c>
      <c r="K94" s="6" t="str">
        <f>"2"&amp;IF(H94=4,3,"F")&amp;" "&amp;RIGHT($B$94,2)&amp;" "&amp;"30 "&amp;RIGHT(C94,2)&amp;IF(G94="float"," 00 00 20 40 "," 01 00 00 00")</f>
        <v>23 06 30 01 01 00 00 00</v>
      </c>
      <c r="L94" s="15" t="s">
        <v>120</v>
      </c>
    </row>
    <row r="95" spans="1:12" ht="49.9" customHeight="1" x14ac:dyDescent="0.2">
      <c r="A95" s="57" t="s">
        <v>70</v>
      </c>
      <c r="B95" s="51" t="s">
        <v>131</v>
      </c>
      <c r="C95" s="7" t="str">
        <f>"0x"&amp;DEC2HEX(ROW()-ROW($A$95)+1,2)</f>
        <v>0x01</v>
      </c>
      <c r="D95" s="7" t="s">
        <v>125</v>
      </c>
      <c r="E95" s="5" t="s">
        <v>71</v>
      </c>
      <c r="F95" s="7" t="s">
        <v>108</v>
      </c>
      <c r="G95" s="7" t="s">
        <v>60</v>
      </c>
      <c r="H95" s="7">
        <v>4</v>
      </c>
      <c r="I95" s="7" t="str">
        <f>"4"&amp;IF(H95=4,3,"F")&amp;" "&amp;RIGHT($B$95,2)&amp;" "&amp;"30 "&amp;RIGHT(C95,2)&amp;" 00 00 00 00 "</f>
        <v xml:space="preserve">43 07 30 01 00 00 00 00 </v>
      </c>
      <c r="J95" s="21" t="str">
        <f t="shared" si="9"/>
        <v>set value to    1</v>
      </c>
      <c r="K95" s="21" t="str">
        <f>"2"&amp;IF(H95=4,3,"F")&amp;" "&amp;RIGHT($B$95,2)&amp;" "&amp;"30 "&amp;RIGHT(C95,2)&amp;IF(G95="float"," 00 00 20 40 "," 01 00 00 00")</f>
        <v>23 07 30 01 01 00 00 00</v>
      </c>
      <c r="L95" s="18"/>
    </row>
    <row r="96" spans="1:12" ht="49.9" customHeight="1" x14ac:dyDescent="0.2">
      <c r="A96" s="58"/>
      <c r="B96" s="52"/>
      <c r="C96" s="21" t="str">
        <f>"0x"&amp;DEC2HEX(ROW()-ROW($A$95)+1,2)</f>
        <v>0x02</v>
      </c>
      <c r="D96" s="21" t="s">
        <v>125</v>
      </c>
      <c r="E96" s="3" t="s">
        <v>72</v>
      </c>
      <c r="F96" s="21" t="s">
        <v>108</v>
      </c>
      <c r="G96" s="21" t="s">
        <v>60</v>
      </c>
      <c r="H96" s="21">
        <v>4</v>
      </c>
      <c r="I96" s="21" t="str">
        <f>"4"&amp;IF(H96=4,3,"F")&amp;" "&amp;RIGHT($B$95,2)&amp;" "&amp;"30 "&amp;RIGHT(C96,2)&amp;" 00 00 00 00 "</f>
        <v xml:space="preserve">43 07 30 02 00 00 00 00 </v>
      </c>
      <c r="J96" s="21" t="str">
        <f t="shared" si="9"/>
        <v>set value to    1</v>
      </c>
      <c r="K96" s="21" t="str">
        <f>"2"&amp;IF(H96=4,3,"F")&amp;" "&amp;RIGHT($B$95,2)&amp;" "&amp;"30 "&amp;RIGHT(C96,2)&amp;IF(G96="float"," 00 00 20 40 "," 01 00 00 00")</f>
        <v>23 07 30 02 01 00 00 00</v>
      </c>
      <c r="L96" s="19"/>
    </row>
    <row r="97" spans="1:12" ht="49.9" customHeight="1" x14ac:dyDescent="0.2">
      <c r="A97" s="59"/>
      <c r="B97" s="53"/>
      <c r="C97" s="25" t="str">
        <f>"0x"&amp;DEC2HEX(ROW()-ROW($A$95)+1,2)</f>
        <v>0x03</v>
      </c>
      <c r="D97" s="25" t="s">
        <v>125</v>
      </c>
      <c r="E97" s="4" t="s">
        <v>73</v>
      </c>
      <c r="F97" s="25" t="s">
        <v>108</v>
      </c>
      <c r="G97" s="25" t="s">
        <v>60</v>
      </c>
      <c r="H97" s="25">
        <v>4</v>
      </c>
      <c r="I97" s="25" t="str">
        <f>"4"&amp;IF(H97=4,3,"F")&amp;" "&amp;RIGHT($B$95,2)&amp;" "&amp;"30 "&amp;RIGHT(C97,2)&amp;" 00 00 00 00 "</f>
        <v xml:space="preserve">43 07 30 03 00 00 00 00 </v>
      </c>
      <c r="J97" s="25" t="str">
        <f t="shared" si="9"/>
        <v>set value to    1</v>
      </c>
      <c r="K97" s="25" t="str">
        <f>"2"&amp;IF(H97=4,3,"F")&amp;" "&amp;RIGHT($B$95,2)&amp;" "&amp;"30 "&amp;RIGHT(C97,2)&amp;IF(G97="float"," 00 00 20 40 "," 01 00 00 00")</f>
        <v>23 07 30 03 01 00 00 00</v>
      </c>
      <c r="L97" s="20"/>
    </row>
    <row r="98" spans="1:12" ht="15" customHeight="1" x14ac:dyDescent="0.2">
      <c r="A98" s="57" t="s">
        <v>74</v>
      </c>
      <c r="B98" s="51" t="s">
        <v>132</v>
      </c>
      <c r="C98" s="7" t="str">
        <f t="shared" ref="C98:C107" si="19">"0x"&amp;DEC2HEX(ROW()-ROW($A$98)+1,2)</f>
        <v>0x01</v>
      </c>
      <c r="D98" s="7" t="s">
        <v>125</v>
      </c>
      <c r="E98" s="5" t="s">
        <v>76</v>
      </c>
      <c r="F98" s="7" t="s">
        <v>108</v>
      </c>
      <c r="G98" s="7" t="s">
        <v>16</v>
      </c>
      <c r="H98" s="7">
        <v>1</v>
      </c>
      <c r="I98" s="7" t="str">
        <f t="shared" ref="I98:I107" si="20">"4"&amp;IF(H98=4,3,"F")&amp;" "&amp;RIGHT($B$98,2)&amp;" "&amp;"30 "&amp;RIGHT(C98,2)&amp;" 00 00 00 00 "</f>
        <v xml:space="preserve">4F 08 30 01 00 00 00 00 </v>
      </c>
      <c r="J98" s="21" t="str">
        <f t="shared" si="9"/>
        <v>set value to    1</v>
      </c>
      <c r="K98" s="21" t="str">
        <f t="shared" ref="K98:K107" si="21">"2"&amp;IF(H98=4,3,"F")&amp;" "&amp;RIGHT($B$98,2)&amp;" "&amp;"30 "&amp;RIGHT(C98,2)&amp;IF(G98="float"," 00 00 20 40 "," 01 00 00 00")</f>
        <v>2F 08 30 01 01 00 00 00</v>
      </c>
      <c r="L98" s="18" t="s">
        <v>121</v>
      </c>
    </row>
    <row r="99" spans="1:12" ht="15" customHeight="1" x14ac:dyDescent="0.2">
      <c r="A99" s="58"/>
      <c r="B99" s="52"/>
      <c r="C99" s="21" t="str">
        <f t="shared" si="19"/>
        <v>0x02</v>
      </c>
      <c r="D99" s="21" t="s">
        <v>125</v>
      </c>
      <c r="E99" s="3" t="s">
        <v>181</v>
      </c>
      <c r="F99" s="21" t="s">
        <v>108</v>
      </c>
      <c r="G99" s="21" t="s">
        <v>16</v>
      </c>
      <c r="H99" s="21">
        <v>1</v>
      </c>
      <c r="I99" s="21" t="str">
        <f t="shared" si="20"/>
        <v xml:space="preserve">4F 08 30 02 00 00 00 00 </v>
      </c>
      <c r="J99" s="21" t="str">
        <f t="shared" si="9"/>
        <v>set value to    1</v>
      </c>
      <c r="K99" s="21" t="str">
        <f t="shared" si="21"/>
        <v>2F 08 30 02 01 00 00 00</v>
      </c>
      <c r="L99" s="19"/>
    </row>
    <row r="100" spans="1:12" ht="15" customHeight="1" x14ac:dyDescent="0.2">
      <c r="A100" s="58"/>
      <c r="B100" s="52"/>
      <c r="C100" s="21" t="str">
        <f t="shared" si="19"/>
        <v>0x03</v>
      </c>
      <c r="D100" s="21" t="s">
        <v>125</v>
      </c>
      <c r="E100" s="3" t="s">
        <v>77</v>
      </c>
      <c r="F100" s="21" t="s">
        <v>113</v>
      </c>
      <c r="G100" s="21" t="s">
        <v>60</v>
      </c>
      <c r="H100" s="21">
        <v>4</v>
      </c>
      <c r="I100" s="21" t="str">
        <f t="shared" si="20"/>
        <v xml:space="preserve">43 08 30 03 00 00 00 00 </v>
      </c>
      <c r="J100" s="21" t="str">
        <f t="shared" si="9"/>
        <v>set value to    1</v>
      </c>
      <c r="K100" s="21" t="str">
        <f t="shared" si="21"/>
        <v>23 08 30 03 01 00 00 00</v>
      </c>
      <c r="L100" s="19" t="s">
        <v>121</v>
      </c>
    </row>
    <row r="101" spans="1:12" ht="15" customHeight="1" x14ac:dyDescent="0.2">
      <c r="A101" s="58"/>
      <c r="B101" s="52"/>
      <c r="C101" s="21" t="str">
        <f t="shared" si="19"/>
        <v>0x04</v>
      </c>
      <c r="D101" s="21" t="s">
        <v>125</v>
      </c>
      <c r="E101" s="3" t="s">
        <v>78</v>
      </c>
      <c r="F101" s="21" t="s">
        <v>108</v>
      </c>
      <c r="G101" s="21" t="s">
        <v>15</v>
      </c>
      <c r="H101" s="21">
        <v>4</v>
      </c>
      <c r="I101" s="21" t="str">
        <f t="shared" si="20"/>
        <v xml:space="preserve">43 08 30 04 00 00 00 00 </v>
      </c>
      <c r="J101" s="21" t="str">
        <f t="shared" ref="J101:J133" si="22">IF(G101="float","Set value to 2.5","set value to    1")</f>
        <v>Set value to 2.5</v>
      </c>
      <c r="K101" s="21" t="str">
        <f t="shared" si="21"/>
        <v xml:space="preserve">23 08 30 04 00 00 20 40 </v>
      </c>
      <c r="L101" s="19"/>
    </row>
    <row r="102" spans="1:12" ht="15" customHeight="1" x14ac:dyDescent="0.2">
      <c r="A102" s="58"/>
      <c r="B102" s="52"/>
      <c r="C102" s="21" t="str">
        <f t="shared" si="19"/>
        <v>0x05</v>
      </c>
      <c r="D102" s="21" t="s">
        <v>125</v>
      </c>
      <c r="E102" s="3" t="s">
        <v>79</v>
      </c>
      <c r="F102" s="21" t="s">
        <v>108</v>
      </c>
      <c r="G102" s="21" t="s">
        <v>15</v>
      </c>
      <c r="H102" s="21">
        <v>4</v>
      </c>
      <c r="I102" s="21" t="str">
        <f t="shared" si="20"/>
        <v xml:space="preserve">43 08 30 05 00 00 00 00 </v>
      </c>
      <c r="J102" s="21" t="str">
        <f t="shared" si="22"/>
        <v>Set value to 2.5</v>
      </c>
      <c r="K102" s="21" t="str">
        <f t="shared" si="21"/>
        <v xml:space="preserve">23 08 30 05 00 00 20 40 </v>
      </c>
      <c r="L102" s="19"/>
    </row>
    <row r="103" spans="1:12" ht="15" customHeight="1" x14ac:dyDescent="0.2">
      <c r="A103" s="58"/>
      <c r="B103" s="52"/>
      <c r="C103" s="21" t="str">
        <f t="shared" si="19"/>
        <v>0x06</v>
      </c>
      <c r="D103" s="21" t="s">
        <v>125</v>
      </c>
      <c r="E103" s="3" t="s">
        <v>80</v>
      </c>
      <c r="F103" s="21" t="s">
        <v>108</v>
      </c>
      <c r="G103" s="21" t="s">
        <v>60</v>
      </c>
      <c r="H103" s="21">
        <v>4</v>
      </c>
      <c r="I103" s="21" t="str">
        <f t="shared" si="20"/>
        <v xml:space="preserve">43 08 30 06 00 00 00 00 </v>
      </c>
      <c r="J103" s="21" t="str">
        <f t="shared" si="22"/>
        <v>set value to    1</v>
      </c>
      <c r="K103" s="21" t="str">
        <f t="shared" si="21"/>
        <v>23 08 30 06 01 00 00 00</v>
      </c>
      <c r="L103" s="19" t="s">
        <v>122</v>
      </c>
    </row>
    <row r="104" spans="1:12" ht="15" customHeight="1" x14ac:dyDescent="0.2">
      <c r="A104" s="58"/>
      <c r="B104" s="52"/>
      <c r="C104" s="21" t="str">
        <f t="shared" si="19"/>
        <v>0x07</v>
      </c>
      <c r="D104" s="21" t="s">
        <v>125</v>
      </c>
      <c r="E104" s="3" t="s">
        <v>82</v>
      </c>
      <c r="F104" s="21" t="s">
        <v>108</v>
      </c>
      <c r="G104" s="21" t="s">
        <v>16</v>
      </c>
      <c r="H104" s="21">
        <v>1</v>
      </c>
      <c r="I104" s="21" t="str">
        <f t="shared" si="20"/>
        <v xml:space="preserve">4F 08 30 07 00 00 00 00 </v>
      </c>
      <c r="J104" s="21" t="str">
        <f t="shared" si="22"/>
        <v>set value to    1</v>
      </c>
      <c r="K104" s="21" t="str">
        <f t="shared" si="21"/>
        <v>2F 08 30 07 01 00 00 00</v>
      </c>
      <c r="L104" s="19" t="s">
        <v>121</v>
      </c>
    </row>
    <row r="105" spans="1:12" ht="15" customHeight="1" x14ac:dyDescent="0.2">
      <c r="A105" s="58"/>
      <c r="B105" s="52"/>
      <c r="C105" s="21" t="str">
        <f t="shared" si="19"/>
        <v>0x08</v>
      </c>
      <c r="D105" s="21" t="s">
        <v>125</v>
      </c>
      <c r="E105" s="3" t="s">
        <v>81</v>
      </c>
      <c r="F105" s="21" t="s">
        <v>108</v>
      </c>
      <c r="G105" s="21" t="s">
        <v>16</v>
      </c>
      <c r="H105" s="21">
        <v>1</v>
      </c>
      <c r="I105" s="21" t="str">
        <f t="shared" si="20"/>
        <v xml:space="preserve">4F 08 30 08 00 00 00 00 </v>
      </c>
      <c r="J105" s="21" t="str">
        <f t="shared" si="22"/>
        <v>set value to    1</v>
      </c>
      <c r="K105" s="21" t="str">
        <f t="shared" si="21"/>
        <v>2F 08 30 08 01 00 00 00</v>
      </c>
      <c r="L105" s="19" t="s">
        <v>121</v>
      </c>
    </row>
    <row r="106" spans="1:12" ht="15" customHeight="1" x14ac:dyDescent="0.2">
      <c r="A106" s="58"/>
      <c r="B106" s="52"/>
      <c r="C106" s="21" t="str">
        <f t="shared" si="19"/>
        <v>0x09</v>
      </c>
      <c r="D106" s="21" t="s">
        <v>125</v>
      </c>
      <c r="E106" s="3" t="s">
        <v>147</v>
      </c>
      <c r="F106" s="21" t="s">
        <v>112</v>
      </c>
      <c r="G106" s="21" t="s">
        <v>60</v>
      </c>
      <c r="H106" s="21">
        <v>4</v>
      </c>
      <c r="I106" s="21" t="str">
        <f t="shared" si="20"/>
        <v xml:space="preserve">43 08 30 09 00 00 00 00 </v>
      </c>
      <c r="J106" s="21" t="str">
        <f t="shared" si="22"/>
        <v>set value to    1</v>
      </c>
      <c r="K106" s="21" t="str">
        <f t="shared" si="21"/>
        <v>23 08 30 09 01 00 00 00</v>
      </c>
      <c r="L106" s="19" t="s">
        <v>149</v>
      </c>
    </row>
    <row r="107" spans="1:12" ht="15" customHeight="1" x14ac:dyDescent="0.2">
      <c r="A107" s="59"/>
      <c r="B107" s="53"/>
      <c r="C107" s="25" t="str">
        <f t="shared" si="19"/>
        <v>0x0A</v>
      </c>
      <c r="D107" s="25" t="s">
        <v>125</v>
      </c>
      <c r="E107" s="3" t="s">
        <v>148</v>
      </c>
      <c r="F107" s="21" t="s">
        <v>112</v>
      </c>
      <c r="G107" s="21" t="s">
        <v>15</v>
      </c>
      <c r="H107" s="21">
        <v>4</v>
      </c>
      <c r="I107" s="21" t="str">
        <f t="shared" si="20"/>
        <v xml:space="preserve">43 08 30 0A 00 00 00 00 </v>
      </c>
      <c r="J107" s="25" t="str">
        <f t="shared" si="22"/>
        <v>Set value to 2.5</v>
      </c>
      <c r="K107" s="25" t="str">
        <f t="shared" si="21"/>
        <v xml:space="preserve">23 08 30 0A 00 00 20 40 </v>
      </c>
      <c r="L107" s="19"/>
    </row>
    <row r="108" spans="1:12" ht="13.9" customHeight="1" x14ac:dyDescent="0.2">
      <c r="A108" s="57" t="s">
        <v>75</v>
      </c>
      <c r="B108" s="51" t="s">
        <v>133</v>
      </c>
      <c r="C108" s="7" t="str">
        <f t="shared" ref="C108:C117" si="23">"0x"&amp;DEC2HEX(ROW()-ROW($A$108)+1,2)</f>
        <v>0x01</v>
      </c>
      <c r="D108" s="7" t="s">
        <v>125</v>
      </c>
      <c r="E108" s="5" t="s">
        <v>83</v>
      </c>
      <c r="F108" s="7" t="s">
        <v>108</v>
      </c>
      <c r="G108" s="7" t="s">
        <v>16</v>
      </c>
      <c r="H108" s="7">
        <v>1</v>
      </c>
      <c r="I108" s="7" t="str">
        <f t="shared" ref="I108:I117" si="24">"4"&amp;IF(H108=4,3,"F")&amp;" "&amp;RIGHT($B$108,2)&amp;" "&amp;"30 "&amp;RIGHT(C108,2)&amp;" 00 00 00 00 "</f>
        <v xml:space="preserve">4F 09 30 01 00 00 00 00 </v>
      </c>
      <c r="J108" s="21" t="str">
        <f t="shared" si="22"/>
        <v>set value to    1</v>
      </c>
      <c r="K108" s="21" t="str">
        <f t="shared" ref="K108:K117" si="25">"2"&amp;IF(H108=4,3,"F")&amp;" "&amp;RIGHT($B$108,2)&amp;" "&amp;"30 "&amp;RIGHT(C108,2)&amp;IF(G108="float"," 00 00 20 40 "," 01 00 00 00")</f>
        <v>2F 09 30 01 01 00 00 00</v>
      </c>
      <c r="L108" s="18" t="s">
        <v>121</v>
      </c>
    </row>
    <row r="109" spans="1:12" x14ac:dyDescent="0.2">
      <c r="A109" s="58"/>
      <c r="B109" s="52"/>
      <c r="C109" s="21" t="str">
        <f t="shared" si="23"/>
        <v>0x02</v>
      </c>
      <c r="D109" s="21" t="s">
        <v>125</v>
      </c>
      <c r="E109" s="3" t="s">
        <v>84</v>
      </c>
      <c r="F109" s="21" t="s">
        <v>111</v>
      </c>
      <c r="G109" s="21" t="s">
        <v>15</v>
      </c>
      <c r="H109" s="21">
        <v>4</v>
      </c>
      <c r="I109" s="21" t="str">
        <f t="shared" si="24"/>
        <v xml:space="preserve">43 09 30 02 00 00 00 00 </v>
      </c>
      <c r="J109" s="21" t="str">
        <f t="shared" si="22"/>
        <v>Set value to 2.5</v>
      </c>
      <c r="K109" s="21" t="str">
        <f t="shared" si="25"/>
        <v xml:space="preserve">23 09 30 02 00 00 20 40 </v>
      </c>
      <c r="L109" s="19"/>
    </row>
    <row r="110" spans="1:12" x14ac:dyDescent="0.2">
      <c r="A110" s="58"/>
      <c r="B110" s="52"/>
      <c r="C110" s="21" t="str">
        <f t="shared" si="23"/>
        <v>0x03</v>
      </c>
      <c r="D110" s="21" t="s">
        <v>125</v>
      </c>
      <c r="E110" s="3" t="s">
        <v>85</v>
      </c>
      <c r="F110" s="21" t="s">
        <v>111</v>
      </c>
      <c r="G110" s="21" t="s">
        <v>16</v>
      </c>
      <c r="H110" s="21">
        <v>1</v>
      </c>
      <c r="I110" s="21" t="str">
        <f t="shared" si="24"/>
        <v xml:space="preserve">4F 09 30 03 00 00 00 00 </v>
      </c>
      <c r="J110" s="21" t="str">
        <f t="shared" si="22"/>
        <v>set value to    1</v>
      </c>
      <c r="K110" s="21" t="str">
        <f t="shared" si="25"/>
        <v>2F 09 30 03 01 00 00 00</v>
      </c>
      <c r="L110" s="19" t="s">
        <v>121</v>
      </c>
    </row>
    <row r="111" spans="1:12" x14ac:dyDescent="0.2">
      <c r="A111" s="58"/>
      <c r="B111" s="52"/>
      <c r="C111" s="21" t="str">
        <f t="shared" si="23"/>
        <v>0x04</v>
      </c>
      <c r="D111" s="21" t="s">
        <v>125</v>
      </c>
      <c r="E111" s="3" t="s">
        <v>86</v>
      </c>
      <c r="F111" s="21" t="s">
        <v>111</v>
      </c>
      <c r="G111" s="21" t="s">
        <v>15</v>
      </c>
      <c r="H111" s="21">
        <v>4</v>
      </c>
      <c r="I111" s="21" t="str">
        <f t="shared" si="24"/>
        <v xml:space="preserve">43 09 30 04 00 00 00 00 </v>
      </c>
      <c r="J111" s="21" t="str">
        <f t="shared" si="22"/>
        <v>Set value to 2.5</v>
      </c>
      <c r="K111" s="21" t="str">
        <f t="shared" si="25"/>
        <v xml:space="preserve">23 09 30 04 00 00 20 40 </v>
      </c>
      <c r="L111" s="19"/>
    </row>
    <row r="112" spans="1:12" x14ac:dyDescent="0.2">
      <c r="A112" s="58"/>
      <c r="B112" s="52"/>
      <c r="C112" s="21" t="str">
        <f t="shared" si="23"/>
        <v>0x05</v>
      </c>
      <c r="D112" s="21" t="s">
        <v>125</v>
      </c>
      <c r="E112" s="3" t="s">
        <v>87</v>
      </c>
      <c r="F112" s="21" t="s">
        <v>111</v>
      </c>
      <c r="G112" s="21" t="s">
        <v>16</v>
      </c>
      <c r="H112" s="21">
        <v>1</v>
      </c>
      <c r="I112" s="21" t="str">
        <f t="shared" si="24"/>
        <v xml:space="preserve">4F 09 30 05 00 00 00 00 </v>
      </c>
      <c r="J112" s="21" t="str">
        <f t="shared" si="22"/>
        <v>set value to    1</v>
      </c>
      <c r="K112" s="21" t="str">
        <f t="shared" si="25"/>
        <v>2F 09 30 05 01 00 00 00</v>
      </c>
      <c r="L112" s="19" t="s">
        <v>121</v>
      </c>
    </row>
    <row r="113" spans="1:12" x14ac:dyDescent="0.2">
      <c r="A113" s="58"/>
      <c r="B113" s="52"/>
      <c r="C113" s="21" t="str">
        <f t="shared" si="23"/>
        <v>0x06</v>
      </c>
      <c r="D113" s="21" t="s">
        <v>125</v>
      </c>
      <c r="E113" s="3" t="s">
        <v>88</v>
      </c>
      <c r="F113" s="21" t="s">
        <v>108</v>
      </c>
      <c r="G113" s="21" t="s">
        <v>60</v>
      </c>
      <c r="H113" s="21">
        <v>4</v>
      </c>
      <c r="I113" s="21" t="str">
        <f t="shared" si="24"/>
        <v xml:space="preserve">43 09 30 06 00 00 00 00 </v>
      </c>
      <c r="J113" s="21" t="str">
        <f t="shared" si="22"/>
        <v>set value to    1</v>
      </c>
      <c r="K113" s="21" t="str">
        <f t="shared" si="25"/>
        <v>23 09 30 06 01 00 00 00</v>
      </c>
      <c r="L113" s="19"/>
    </row>
    <row r="114" spans="1:12" x14ac:dyDescent="0.2">
      <c r="A114" s="58"/>
      <c r="B114" s="52"/>
      <c r="C114" s="21" t="str">
        <f t="shared" si="23"/>
        <v>0x07</v>
      </c>
      <c r="D114" s="21" t="s">
        <v>125</v>
      </c>
      <c r="E114" s="3" t="s">
        <v>89</v>
      </c>
      <c r="F114" s="21" t="s">
        <v>108</v>
      </c>
      <c r="G114" s="21" t="s">
        <v>60</v>
      </c>
      <c r="H114" s="21">
        <v>4</v>
      </c>
      <c r="I114" s="21" t="str">
        <f t="shared" si="24"/>
        <v xml:space="preserve">43 09 30 07 00 00 00 00 </v>
      </c>
      <c r="J114" s="21" t="str">
        <f t="shared" si="22"/>
        <v>set value to    1</v>
      </c>
      <c r="K114" s="21" t="str">
        <f t="shared" si="25"/>
        <v>23 09 30 07 01 00 00 00</v>
      </c>
      <c r="L114" s="19"/>
    </row>
    <row r="115" spans="1:12" x14ac:dyDescent="0.2">
      <c r="A115" s="58"/>
      <c r="B115" s="52"/>
      <c r="C115" s="21" t="str">
        <f t="shared" si="23"/>
        <v>0x08</v>
      </c>
      <c r="D115" s="21" t="s">
        <v>125</v>
      </c>
      <c r="E115" s="3" t="s">
        <v>90</v>
      </c>
      <c r="F115" s="21" t="s">
        <v>108</v>
      </c>
      <c r="G115" s="21" t="s">
        <v>15</v>
      </c>
      <c r="H115" s="21">
        <v>4</v>
      </c>
      <c r="I115" s="21" t="str">
        <f t="shared" si="24"/>
        <v xml:space="preserve">43 09 30 08 00 00 00 00 </v>
      </c>
      <c r="J115" s="21" t="str">
        <f t="shared" si="22"/>
        <v>Set value to 2.5</v>
      </c>
      <c r="K115" s="21" t="str">
        <f t="shared" si="25"/>
        <v xml:space="preserve">23 09 30 08 00 00 20 40 </v>
      </c>
      <c r="L115" s="19"/>
    </row>
    <row r="116" spans="1:12" x14ac:dyDescent="0.2">
      <c r="A116" s="58"/>
      <c r="B116" s="52"/>
      <c r="C116" s="21" t="str">
        <f t="shared" si="23"/>
        <v>0x09</v>
      </c>
      <c r="D116" s="21" t="s">
        <v>125</v>
      </c>
      <c r="E116" s="3" t="s">
        <v>91</v>
      </c>
      <c r="F116" s="21" t="s">
        <v>108</v>
      </c>
      <c r="G116" s="21" t="s">
        <v>15</v>
      </c>
      <c r="H116" s="21">
        <v>4</v>
      </c>
      <c r="I116" s="21" t="str">
        <f t="shared" si="24"/>
        <v xml:space="preserve">43 09 30 09 00 00 00 00 </v>
      </c>
      <c r="J116" s="21" t="str">
        <f t="shared" si="22"/>
        <v>Set value to 2.5</v>
      </c>
      <c r="K116" s="21" t="str">
        <f t="shared" si="25"/>
        <v xml:space="preserve">23 09 30 09 00 00 20 40 </v>
      </c>
      <c r="L116" s="19"/>
    </row>
    <row r="117" spans="1:12" x14ac:dyDescent="0.2">
      <c r="A117" s="59"/>
      <c r="B117" s="53"/>
      <c r="C117" s="25" t="str">
        <f t="shared" si="23"/>
        <v>0x0A</v>
      </c>
      <c r="D117" s="21" t="s">
        <v>125</v>
      </c>
      <c r="E117" s="4" t="s">
        <v>92</v>
      </c>
      <c r="F117" s="25" t="s">
        <v>108</v>
      </c>
      <c r="G117" s="25" t="s">
        <v>15</v>
      </c>
      <c r="H117" s="25">
        <v>4</v>
      </c>
      <c r="I117" s="25" t="str">
        <f t="shared" si="24"/>
        <v xml:space="preserve">43 09 30 0A 00 00 00 00 </v>
      </c>
      <c r="J117" s="25" t="str">
        <f>IF(G117="float","Set value to 2.5","set value to    1")</f>
        <v>Set value to 2.5</v>
      </c>
      <c r="K117" s="25" t="str">
        <f t="shared" si="25"/>
        <v xml:space="preserve">23 09 30 0A 00 00 20 40 </v>
      </c>
      <c r="L117" s="20"/>
    </row>
    <row r="118" spans="1:12" ht="75" customHeight="1" x14ac:dyDescent="0.2">
      <c r="A118" s="57" t="s">
        <v>93</v>
      </c>
      <c r="B118" s="51" t="s">
        <v>134</v>
      </c>
      <c r="C118" s="7" t="s">
        <v>2</v>
      </c>
      <c r="D118" s="7" t="s">
        <v>118</v>
      </c>
      <c r="E118" s="5" t="s">
        <v>95</v>
      </c>
      <c r="F118" s="7" t="s">
        <v>108</v>
      </c>
      <c r="G118" s="7" t="s">
        <v>60</v>
      </c>
      <c r="H118" s="7">
        <v>4</v>
      </c>
      <c r="I118" s="7" t="str">
        <f>"4"&amp;IF(H118=4,3,"F")&amp;" "&amp;RIGHT($B$118,2)&amp;" "&amp;"30 "&amp;RIGHT(C118,2)&amp;" 00 00 00 00 "</f>
        <v xml:space="preserve">43 0A 30 01 00 00 00 00 </v>
      </c>
      <c r="J118" s="21" t="str">
        <f t="shared" si="22"/>
        <v>set value to    1</v>
      </c>
      <c r="K118" s="21" t="s">
        <v>118</v>
      </c>
      <c r="L118" s="16" t="s">
        <v>180</v>
      </c>
    </row>
    <row r="119" spans="1:12" ht="75" customHeight="1" x14ac:dyDescent="0.2">
      <c r="A119" s="59"/>
      <c r="B119" s="69"/>
      <c r="C119" s="25" t="s">
        <v>94</v>
      </c>
      <c r="D119" s="25" t="s">
        <v>118</v>
      </c>
      <c r="E119" s="4" t="s">
        <v>96</v>
      </c>
      <c r="F119" s="25" t="s">
        <v>108</v>
      </c>
      <c r="G119" s="25" t="s">
        <v>60</v>
      </c>
      <c r="H119" s="25">
        <v>4</v>
      </c>
      <c r="I119" s="25" t="str">
        <f>"4"&amp;IF(H119=4,3,"F")&amp;" "&amp;RIGHT($B$118,2)&amp;" "&amp;"30 "&amp;RIGHT(C119,2)&amp;" 00 00 00 00 "</f>
        <v xml:space="preserve">43 0A 30 02 00 00 00 00 </v>
      </c>
      <c r="J119" s="25" t="str">
        <f t="shared" si="22"/>
        <v>set value to    1</v>
      </c>
      <c r="K119" s="25" t="s">
        <v>118</v>
      </c>
      <c r="L119" s="15" t="s">
        <v>179</v>
      </c>
    </row>
    <row r="120" spans="1:12" x14ac:dyDescent="0.2">
      <c r="A120" s="57" t="s">
        <v>97</v>
      </c>
      <c r="B120" s="51" t="s">
        <v>135</v>
      </c>
      <c r="C120" s="7" t="str">
        <f t="shared" ref="C120:C133" si="26">"0x"&amp;DEC2HEX(ROW()-ROW($A$120)+1,2)</f>
        <v>0x01</v>
      </c>
      <c r="D120" s="7" t="s">
        <v>118</v>
      </c>
      <c r="E120" s="5" t="s">
        <v>20</v>
      </c>
      <c r="F120" s="7" t="s">
        <v>108</v>
      </c>
      <c r="G120" s="7" t="s">
        <v>15</v>
      </c>
      <c r="H120" s="7">
        <v>4</v>
      </c>
      <c r="I120" s="7" t="str">
        <f t="shared" ref="I120:I133" si="27">"4"&amp;IF(H120=4,3,"F")&amp;" "&amp;RIGHT($B$120,2)&amp;" "&amp;"30 "&amp;RIGHT(C120,2)&amp;" 00 00 00 00 "</f>
        <v xml:space="preserve">43 0B 30 01 00 00 00 00 </v>
      </c>
      <c r="J120" s="21" t="str">
        <f t="shared" si="22"/>
        <v>Set value to 2.5</v>
      </c>
      <c r="K120" s="21" t="s">
        <v>118</v>
      </c>
      <c r="L120" s="11"/>
    </row>
    <row r="121" spans="1:12" x14ac:dyDescent="0.2">
      <c r="A121" s="58"/>
      <c r="B121" s="66"/>
      <c r="C121" s="21" t="str">
        <f t="shared" si="26"/>
        <v>0x02</v>
      </c>
      <c r="D121" s="21" t="s">
        <v>118</v>
      </c>
      <c r="E121" s="3" t="s">
        <v>6</v>
      </c>
      <c r="F121" s="21" t="s">
        <v>108</v>
      </c>
      <c r="G121" s="21" t="s">
        <v>15</v>
      </c>
      <c r="H121" s="21">
        <v>4</v>
      </c>
      <c r="I121" s="21" t="str">
        <f t="shared" si="27"/>
        <v xml:space="preserve">43 0B 30 02 00 00 00 00 </v>
      </c>
      <c r="J121" s="21" t="str">
        <f t="shared" si="22"/>
        <v>Set value to 2.5</v>
      </c>
      <c r="K121" s="21" t="s">
        <v>118</v>
      </c>
      <c r="L121" s="12"/>
    </row>
    <row r="122" spans="1:12" x14ac:dyDescent="0.2">
      <c r="A122" s="58"/>
      <c r="B122" s="66"/>
      <c r="C122" s="21" t="str">
        <f t="shared" si="26"/>
        <v>0x03</v>
      </c>
      <c r="D122" s="21" t="s">
        <v>118</v>
      </c>
      <c r="E122" s="3" t="s">
        <v>98</v>
      </c>
      <c r="F122" s="21" t="s">
        <v>108</v>
      </c>
      <c r="G122" s="21" t="s">
        <v>15</v>
      </c>
      <c r="H122" s="21">
        <v>4</v>
      </c>
      <c r="I122" s="21" t="str">
        <f t="shared" si="27"/>
        <v xml:space="preserve">43 0B 30 03 00 00 00 00 </v>
      </c>
      <c r="J122" s="21" t="str">
        <f t="shared" si="22"/>
        <v>Set value to 2.5</v>
      </c>
      <c r="K122" s="21" t="s">
        <v>118</v>
      </c>
      <c r="L122" s="12"/>
    </row>
    <row r="123" spans="1:12" x14ac:dyDescent="0.2">
      <c r="A123" s="58"/>
      <c r="B123" s="66"/>
      <c r="C123" s="21" t="str">
        <f t="shared" si="26"/>
        <v>0x04</v>
      </c>
      <c r="D123" s="21" t="s">
        <v>118</v>
      </c>
      <c r="E123" s="3" t="s">
        <v>99</v>
      </c>
      <c r="F123" s="21" t="s">
        <v>108</v>
      </c>
      <c r="G123" s="21" t="s">
        <v>15</v>
      </c>
      <c r="H123" s="21">
        <v>4</v>
      </c>
      <c r="I123" s="21" t="str">
        <f t="shared" si="27"/>
        <v xml:space="preserve">43 0B 30 04 00 00 00 00 </v>
      </c>
      <c r="J123" s="21" t="str">
        <f t="shared" si="22"/>
        <v>Set value to 2.5</v>
      </c>
      <c r="K123" s="21" t="s">
        <v>118</v>
      </c>
      <c r="L123" s="12"/>
    </row>
    <row r="124" spans="1:12" x14ac:dyDescent="0.2">
      <c r="A124" s="58"/>
      <c r="B124" s="66"/>
      <c r="C124" s="21" t="str">
        <f t="shared" si="26"/>
        <v>0x05</v>
      </c>
      <c r="D124" s="21" t="s">
        <v>118</v>
      </c>
      <c r="E124" s="3" t="s">
        <v>100</v>
      </c>
      <c r="F124" s="21" t="s">
        <v>108</v>
      </c>
      <c r="G124" s="21" t="s">
        <v>15</v>
      </c>
      <c r="H124" s="21">
        <v>4</v>
      </c>
      <c r="I124" s="21" t="str">
        <f t="shared" si="27"/>
        <v xml:space="preserve">43 0B 30 05 00 00 00 00 </v>
      </c>
      <c r="J124" s="21" t="str">
        <f t="shared" si="22"/>
        <v>Set value to 2.5</v>
      </c>
      <c r="K124" s="21" t="s">
        <v>118</v>
      </c>
      <c r="L124" s="12"/>
    </row>
    <row r="125" spans="1:12" x14ac:dyDescent="0.2">
      <c r="A125" s="58"/>
      <c r="B125" s="66"/>
      <c r="C125" s="21" t="str">
        <f t="shared" si="26"/>
        <v>0x06</v>
      </c>
      <c r="D125" s="21" t="s">
        <v>118</v>
      </c>
      <c r="E125" s="3" t="s">
        <v>101</v>
      </c>
      <c r="F125" s="21" t="s">
        <v>108</v>
      </c>
      <c r="G125" s="21" t="s">
        <v>15</v>
      </c>
      <c r="H125" s="21">
        <v>4</v>
      </c>
      <c r="I125" s="21" t="str">
        <f t="shared" si="27"/>
        <v xml:space="preserve">43 0B 30 06 00 00 00 00 </v>
      </c>
      <c r="J125" s="21" t="str">
        <f t="shared" si="22"/>
        <v>Set value to 2.5</v>
      </c>
      <c r="K125" s="21" t="s">
        <v>118</v>
      </c>
      <c r="L125" s="12"/>
    </row>
    <row r="126" spans="1:12" x14ac:dyDescent="0.2">
      <c r="A126" s="58"/>
      <c r="B126" s="66"/>
      <c r="C126" s="21" t="str">
        <f t="shared" si="26"/>
        <v>0x07</v>
      </c>
      <c r="D126" s="21" t="s">
        <v>118</v>
      </c>
      <c r="E126" s="3" t="s">
        <v>182</v>
      </c>
      <c r="F126" s="21" t="s">
        <v>108</v>
      </c>
      <c r="G126" s="21" t="s">
        <v>15</v>
      </c>
      <c r="H126" s="21">
        <v>4</v>
      </c>
      <c r="I126" s="21" t="str">
        <f t="shared" si="27"/>
        <v xml:space="preserve">43 0B 30 07 00 00 00 00 </v>
      </c>
      <c r="J126" s="21" t="str">
        <f t="shared" si="22"/>
        <v>Set value to 2.5</v>
      </c>
      <c r="K126" s="21" t="s">
        <v>118</v>
      </c>
      <c r="L126" s="12"/>
    </row>
    <row r="127" spans="1:12" x14ac:dyDescent="0.2">
      <c r="A127" s="58"/>
      <c r="B127" s="66"/>
      <c r="C127" s="21" t="str">
        <f t="shared" si="26"/>
        <v>0x08</v>
      </c>
      <c r="D127" s="21" t="s">
        <v>118</v>
      </c>
      <c r="E127" s="3" t="s">
        <v>102</v>
      </c>
      <c r="F127" s="21" t="s">
        <v>108</v>
      </c>
      <c r="G127" s="21" t="s">
        <v>15</v>
      </c>
      <c r="H127" s="21">
        <v>4</v>
      </c>
      <c r="I127" s="21" t="str">
        <f t="shared" si="27"/>
        <v xml:space="preserve">43 0B 30 08 00 00 00 00 </v>
      </c>
      <c r="J127" s="21" t="str">
        <f t="shared" si="22"/>
        <v>Set value to 2.5</v>
      </c>
      <c r="K127" s="21" t="s">
        <v>118</v>
      </c>
      <c r="L127" s="12"/>
    </row>
    <row r="128" spans="1:12" x14ac:dyDescent="0.2">
      <c r="A128" s="58"/>
      <c r="B128" s="66"/>
      <c r="C128" s="21" t="str">
        <f t="shared" si="26"/>
        <v>0x09</v>
      </c>
      <c r="D128" s="21" t="s">
        <v>118</v>
      </c>
      <c r="E128" s="3" t="s">
        <v>183</v>
      </c>
      <c r="F128" s="21" t="s">
        <v>108</v>
      </c>
      <c r="G128" s="21" t="s">
        <v>15</v>
      </c>
      <c r="H128" s="21">
        <v>4</v>
      </c>
      <c r="I128" s="21" t="str">
        <f t="shared" si="27"/>
        <v xml:space="preserve">43 0B 30 09 00 00 00 00 </v>
      </c>
      <c r="J128" s="21" t="str">
        <f t="shared" si="22"/>
        <v>Set value to 2.5</v>
      </c>
      <c r="K128" s="21" t="s">
        <v>118</v>
      </c>
      <c r="L128" s="12"/>
    </row>
    <row r="129" spans="1:12" x14ac:dyDescent="0.2">
      <c r="A129" s="58"/>
      <c r="B129" s="66"/>
      <c r="C129" s="21" t="str">
        <f t="shared" si="26"/>
        <v>0x0A</v>
      </c>
      <c r="D129" s="21" t="s">
        <v>118</v>
      </c>
      <c r="E129" s="3" t="s">
        <v>103</v>
      </c>
      <c r="F129" s="21" t="s">
        <v>108</v>
      </c>
      <c r="G129" s="21" t="s">
        <v>15</v>
      </c>
      <c r="H129" s="21">
        <v>4</v>
      </c>
      <c r="I129" s="21" t="str">
        <f t="shared" si="27"/>
        <v xml:space="preserve">43 0B 30 0A 00 00 00 00 </v>
      </c>
      <c r="J129" s="21" t="str">
        <f t="shared" si="22"/>
        <v>Set value to 2.5</v>
      </c>
      <c r="K129" s="21" t="s">
        <v>118</v>
      </c>
      <c r="L129" s="12"/>
    </row>
    <row r="130" spans="1:12" x14ac:dyDescent="0.2">
      <c r="A130" s="58"/>
      <c r="B130" s="66"/>
      <c r="C130" s="21" t="str">
        <f t="shared" si="26"/>
        <v>0x0B</v>
      </c>
      <c r="D130" s="21" t="s">
        <v>118</v>
      </c>
      <c r="E130" s="3" t="s">
        <v>184</v>
      </c>
      <c r="F130" s="21" t="s">
        <v>108</v>
      </c>
      <c r="G130" s="21" t="s">
        <v>15</v>
      </c>
      <c r="H130" s="21">
        <v>4</v>
      </c>
      <c r="I130" s="21" t="str">
        <f t="shared" si="27"/>
        <v xml:space="preserve">43 0B 30 0B 00 00 00 00 </v>
      </c>
      <c r="J130" s="21" t="str">
        <f t="shared" si="22"/>
        <v>Set value to 2.5</v>
      </c>
      <c r="K130" s="21" t="s">
        <v>118</v>
      </c>
      <c r="L130" s="12"/>
    </row>
    <row r="131" spans="1:12" x14ac:dyDescent="0.2">
      <c r="A131" s="58"/>
      <c r="B131" s="66"/>
      <c r="C131" s="21" t="str">
        <f t="shared" si="26"/>
        <v>0x0C</v>
      </c>
      <c r="D131" s="21" t="s">
        <v>118</v>
      </c>
      <c r="E131" s="3" t="s">
        <v>104</v>
      </c>
      <c r="F131" s="21" t="s">
        <v>108</v>
      </c>
      <c r="G131" s="21" t="s">
        <v>15</v>
      </c>
      <c r="H131" s="21">
        <v>4</v>
      </c>
      <c r="I131" s="21" t="str">
        <f t="shared" si="27"/>
        <v xml:space="preserve">43 0B 30 0C 00 00 00 00 </v>
      </c>
      <c r="J131" s="21" t="str">
        <f t="shared" si="22"/>
        <v>Set value to 2.5</v>
      </c>
      <c r="K131" s="21" t="s">
        <v>118</v>
      </c>
      <c r="L131" s="12"/>
    </row>
    <row r="132" spans="1:12" x14ac:dyDescent="0.2">
      <c r="A132" s="58"/>
      <c r="B132" s="66"/>
      <c r="C132" s="21" t="str">
        <f t="shared" si="26"/>
        <v>0x0D</v>
      </c>
      <c r="D132" s="21" t="s">
        <v>118</v>
      </c>
      <c r="E132" s="3" t="s">
        <v>105</v>
      </c>
      <c r="F132" s="21" t="s">
        <v>108</v>
      </c>
      <c r="G132" s="21" t="s">
        <v>15</v>
      </c>
      <c r="H132" s="21">
        <v>4</v>
      </c>
      <c r="I132" s="21" t="str">
        <f t="shared" si="27"/>
        <v xml:space="preserve">43 0B 30 0D 00 00 00 00 </v>
      </c>
      <c r="J132" s="21" t="str">
        <f t="shared" si="22"/>
        <v>Set value to 2.5</v>
      </c>
      <c r="K132" s="21" t="s">
        <v>118</v>
      </c>
      <c r="L132" s="12"/>
    </row>
    <row r="133" spans="1:12" ht="15" thickBot="1" x14ac:dyDescent="0.25">
      <c r="A133" s="68"/>
      <c r="B133" s="67"/>
      <c r="C133" s="22" t="str">
        <f t="shared" si="26"/>
        <v>0x0E</v>
      </c>
      <c r="D133" s="22" t="s">
        <v>118</v>
      </c>
      <c r="E133" s="13" t="s">
        <v>106</v>
      </c>
      <c r="F133" s="22" t="s">
        <v>108</v>
      </c>
      <c r="G133" s="22" t="s">
        <v>15</v>
      </c>
      <c r="H133" s="22">
        <v>4</v>
      </c>
      <c r="I133" s="22" t="str">
        <f t="shared" si="27"/>
        <v xml:space="preserve">43 0B 30 0E 00 00 00 00 </v>
      </c>
      <c r="J133" s="22" t="str">
        <f t="shared" si="22"/>
        <v>Set value to 2.5</v>
      </c>
      <c r="K133" s="22" t="s">
        <v>118</v>
      </c>
      <c r="L133" s="14"/>
    </row>
  </sheetData>
  <mergeCells count="23">
    <mergeCell ref="A1:L1"/>
    <mergeCell ref="B120:B133"/>
    <mergeCell ref="A120:A133"/>
    <mergeCell ref="B108:B117"/>
    <mergeCell ref="A108:A117"/>
    <mergeCell ref="B118:B119"/>
    <mergeCell ref="A118:A119"/>
    <mergeCell ref="B95:B97"/>
    <mergeCell ref="A95:A97"/>
    <mergeCell ref="B98:B107"/>
    <mergeCell ref="A98:A107"/>
    <mergeCell ref="A7:A16"/>
    <mergeCell ref="B7:B16"/>
    <mergeCell ref="B73:B86"/>
    <mergeCell ref="A73:A86"/>
    <mergeCell ref="A42:A72"/>
    <mergeCell ref="J2:K2"/>
    <mergeCell ref="B42:B72"/>
    <mergeCell ref="A17:A41"/>
    <mergeCell ref="B17:B41"/>
    <mergeCell ref="B87:B93"/>
    <mergeCell ref="A87:A93"/>
    <mergeCell ref="A3:A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5C74-DEE1-4D88-81FA-4DC8D48F4C4A}">
  <dimension ref="A1:F22"/>
  <sheetViews>
    <sheetView zoomScaleNormal="100" workbookViewId="0">
      <selection activeCell="E25" sqref="E25"/>
    </sheetView>
  </sheetViews>
  <sheetFormatPr defaultRowHeight="14.25" x14ac:dyDescent="0.2"/>
  <cols>
    <col min="1" max="1" width="20.875" customWidth="1"/>
    <col min="2" max="2" width="18.75" customWidth="1"/>
    <col min="3" max="3" width="15.5" style="1" customWidth="1"/>
    <col min="4" max="4" width="8.875" style="1"/>
    <col min="5" max="5" width="36.75" customWidth="1"/>
    <col min="6" max="6" width="35.375" customWidth="1"/>
  </cols>
  <sheetData>
    <row r="1" spans="1:6" ht="20.25" x14ac:dyDescent="0.2">
      <c r="A1" s="63" t="s">
        <v>212</v>
      </c>
      <c r="B1" s="64"/>
      <c r="C1" s="64"/>
      <c r="D1" s="64"/>
      <c r="E1" s="64"/>
      <c r="F1" s="65"/>
    </row>
    <row r="2" spans="1:6" x14ac:dyDescent="0.2">
      <c r="A2" s="39" t="s">
        <v>185</v>
      </c>
      <c r="B2" s="36" t="s">
        <v>5</v>
      </c>
      <c r="C2" s="37" t="s">
        <v>34</v>
      </c>
      <c r="D2" s="37" t="s">
        <v>116</v>
      </c>
      <c r="E2" s="41" t="s">
        <v>187</v>
      </c>
      <c r="F2" s="40" t="s">
        <v>4</v>
      </c>
    </row>
    <row r="3" spans="1:6" ht="13.9" customHeight="1" x14ac:dyDescent="0.2">
      <c r="A3" s="54" t="s">
        <v>186</v>
      </c>
      <c r="B3" s="21" t="s">
        <v>196</v>
      </c>
      <c r="C3" s="21" t="s">
        <v>16</v>
      </c>
      <c r="D3" s="21">
        <v>1</v>
      </c>
      <c r="E3" s="51" t="s">
        <v>214</v>
      </c>
      <c r="F3" s="73" t="s">
        <v>213</v>
      </c>
    </row>
    <row r="4" spans="1:6" x14ac:dyDescent="0.2">
      <c r="A4" s="58"/>
      <c r="B4" s="21" t="s">
        <v>197</v>
      </c>
      <c r="C4" s="21" t="s">
        <v>16</v>
      </c>
      <c r="D4" s="21">
        <v>1</v>
      </c>
      <c r="E4" s="52"/>
      <c r="F4" s="74"/>
    </row>
    <row r="5" spans="1:6" x14ac:dyDescent="0.2">
      <c r="A5" s="58"/>
      <c r="B5" s="21" t="s">
        <v>198</v>
      </c>
      <c r="C5" s="21" t="s">
        <v>16</v>
      </c>
      <c r="D5" s="21">
        <v>1</v>
      </c>
      <c r="E5" s="52"/>
      <c r="F5" s="74"/>
    </row>
    <row r="6" spans="1:6" x14ac:dyDescent="0.2">
      <c r="A6" s="58"/>
      <c r="B6" s="21" t="s">
        <v>199</v>
      </c>
      <c r="C6" s="21" t="s">
        <v>16</v>
      </c>
      <c r="D6" s="21">
        <v>1</v>
      </c>
      <c r="E6" s="52"/>
      <c r="F6" s="74"/>
    </row>
    <row r="7" spans="1:6" x14ac:dyDescent="0.2">
      <c r="A7" s="58"/>
      <c r="B7" s="21" t="s">
        <v>200</v>
      </c>
      <c r="C7" s="21" t="s">
        <v>16</v>
      </c>
      <c r="D7" s="21">
        <v>1</v>
      </c>
      <c r="E7" s="52"/>
      <c r="F7" s="74"/>
    </row>
    <row r="8" spans="1:6" x14ac:dyDescent="0.2">
      <c r="A8" s="58"/>
      <c r="B8" s="21" t="s">
        <v>201</v>
      </c>
      <c r="C8" s="21" t="s">
        <v>16</v>
      </c>
      <c r="D8" s="21">
        <v>1</v>
      </c>
      <c r="E8" s="52"/>
      <c r="F8" s="74"/>
    </row>
    <row r="9" spans="1:6" x14ac:dyDescent="0.2">
      <c r="A9" s="58"/>
      <c r="B9" s="21" t="s">
        <v>202</v>
      </c>
      <c r="C9" s="21" t="s">
        <v>16</v>
      </c>
      <c r="D9" s="21">
        <v>1</v>
      </c>
      <c r="E9" s="52"/>
      <c r="F9" s="74"/>
    </row>
    <row r="10" spans="1:6" x14ac:dyDescent="0.2">
      <c r="A10" s="59"/>
      <c r="B10" s="25" t="s">
        <v>203</v>
      </c>
      <c r="C10" s="25" t="s">
        <v>16</v>
      </c>
      <c r="D10" s="25">
        <v>1</v>
      </c>
      <c r="E10" s="53"/>
      <c r="F10" s="77"/>
    </row>
    <row r="11" spans="1:6" x14ac:dyDescent="0.2">
      <c r="A11" s="54" t="s">
        <v>188</v>
      </c>
      <c r="B11" s="38" t="s">
        <v>189</v>
      </c>
      <c r="C11" s="7" t="s">
        <v>60</v>
      </c>
      <c r="D11" s="7">
        <v>4</v>
      </c>
      <c r="E11" s="76" t="s">
        <v>216</v>
      </c>
      <c r="F11" s="73" t="s">
        <v>191</v>
      </c>
    </row>
    <row r="12" spans="1:6" x14ac:dyDescent="0.2">
      <c r="A12" s="59"/>
      <c r="B12" s="35" t="s">
        <v>190</v>
      </c>
      <c r="C12" s="25" t="s">
        <v>60</v>
      </c>
      <c r="D12" s="25">
        <v>4</v>
      </c>
      <c r="E12" s="69"/>
      <c r="F12" s="77"/>
    </row>
    <row r="13" spans="1:6" x14ac:dyDescent="0.2">
      <c r="A13" s="54" t="s">
        <v>192</v>
      </c>
      <c r="B13" s="7" t="s">
        <v>194</v>
      </c>
      <c r="C13" s="7" t="s">
        <v>15</v>
      </c>
      <c r="D13" s="7">
        <v>4</v>
      </c>
      <c r="E13" s="76" t="s">
        <v>215</v>
      </c>
      <c r="F13" s="73" t="s">
        <v>191</v>
      </c>
    </row>
    <row r="14" spans="1:6" x14ac:dyDescent="0.2">
      <c r="A14" s="59"/>
      <c r="B14" s="25" t="s">
        <v>195</v>
      </c>
      <c r="C14" s="25" t="s">
        <v>15</v>
      </c>
      <c r="D14" s="25">
        <v>4</v>
      </c>
      <c r="E14" s="69"/>
      <c r="F14" s="77"/>
    </row>
    <row r="15" spans="1:6" x14ac:dyDescent="0.2">
      <c r="A15" s="54" t="s">
        <v>193</v>
      </c>
      <c r="B15" s="7" t="s">
        <v>204</v>
      </c>
      <c r="C15" s="7" t="s">
        <v>16</v>
      </c>
      <c r="D15" s="7">
        <v>1</v>
      </c>
      <c r="E15" s="51" t="s">
        <v>214</v>
      </c>
      <c r="F15" s="73" t="s">
        <v>213</v>
      </c>
    </row>
    <row r="16" spans="1:6" x14ac:dyDescent="0.2">
      <c r="A16" s="58"/>
      <c r="B16" s="21" t="s">
        <v>205</v>
      </c>
      <c r="C16" s="21" t="s">
        <v>16</v>
      </c>
      <c r="D16" s="21">
        <v>1</v>
      </c>
      <c r="E16" s="52"/>
      <c r="F16" s="74"/>
    </row>
    <row r="17" spans="1:6" x14ac:dyDescent="0.2">
      <c r="A17" s="58"/>
      <c r="B17" s="21" t="s">
        <v>206</v>
      </c>
      <c r="C17" s="21" t="s">
        <v>16</v>
      </c>
      <c r="D17" s="21">
        <v>1</v>
      </c>
      <c r="E17" s="52"/>
      <c r="F17" s="74"/>
    </row>
    <row r="18" spans="1:6" x14ac:dyDescent="0.2">
      <c r="A18" s="58"/>
      <c r="B18" s="21" t="s">
        <v>207</v>
      </c>
      <c r="C18" s="21" t="s">
        <v>16</v>
      </c>
      <c r="D18" s="21">
        <v>1</v>
      </c>
      <c r="E18" s="52"/>
      <c r="F18" s="74"/>
    </row>
    <row r="19" spans="1:6" x14ac:dyDescent="0.2">
      <c r="A19" s="58"/>
      <c r="B19" s="21" t="s">
        <v>208</v>
      </c>
      <c r="C19" s="21" t="s">
        <v>16</v>
      </c>
      <c r="D19" s="21">
        <v>1</v>
      </c>
      <c r="E19" s="52"/>
      <c r="F19" s="74"/>
    </row>
    <row r="20" spans="1:6" x14ac:dyDescent="0.2">
      <c r="A20" s="58"/>
      <c r="B20" s="21" t="s">
        <v>209</v>
      </c>
      <c r="C20" s="21" t="s">
        <v>16</v>
      </c>
      <c r="D20" s="21">
        <v>1</v>
      </c>
      <c r="E20" s="52"/>
      <c r="F20" s="74"/>
    </row>
    <row r="21" spans="1:6" x14ac:dyDescent="0.2">
      <c r="A21" s="58"/>
      <c r="B21" s="21" t="s">
        <v>210</v>
      </c>
      <c r="C21" s="21" t="s">
        <v>16</v>
      </c>
      <c r="D21" s="21">
        <v>1</v>
      </c>
      <c r="E21" s="52"/>
      <c r="F21" s="74"/>
    </row>
    <row r="22" spans="1:6" ht="15" thickBot="1" x14ac:dyDescent="0.25">
      <c r="A22" s="68"/>
      <c r="B22" s="22" t="s">
        <v>211</v>
      </c>
      <c r="C22" s="22" t="s">
        <v>16</v>
      </c>
      <c r="D22" s="22">
        <v>1</v>
      </c>
      <c r="E22" s="72"/>
      <c r="F22" s="75"/>
    </row>
  </sheetData>
  <mergeCells count="13">
    <mergeCell ref="E15:E22"/>
    <mergeCell ref="F15:F22"/>
    <mergeCell ref="A1:F1"/>
    <mergeCell ref="E11:E12"/>
    <mergeCell ref="A3:A10"/>
    <mergeCell ref="A11:A12"/>
    <mergeCell ref="F11:F12"/>
    <mergeCell ref="A13:A14"/>
    <mergeCell ref="A15:A22"/>
    <mergeCell ref="F13:F14"/>
    <mergeCell ref="E3:E10"/>
    <mergeCell ref="F3:F10"/>
    <mergeCell ref="E13:E1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CF7C-F29F-4E5F-A211-EF64472A6517}">
  <dimension ref="A1:D4"/>
  <sheetViews>
    <sheetView workbookViewId="0">
      <selection activeCell="D11" sqref="D11"/>
    </sheetView>
  </sheetViews>
  <sheetFormatPr defaultRowHeight="14.25" x14ac:dyDescent="0.2"/>
  <cols>
    <col min="1" max="1" width="21" style="1" customWidth="1"/>
    <col min="2" max="2" width="11.25" style="44" customWidth="1"/>
    <col min="3" max="3" width="24.25" customWidth="1"/>
    <col min="4" max="4" width="30.125" customWidth="1"/>
  </cols>
  <sheetData>
    <row r="1" spans="1:4" ht="20.25" x14ac:dyDescent="0.2">
      <c r="A1" s="63" t="s">
        <v>226</v>
      </c>
      <c r="B1" s="64"/>
      <c r="C1" s="64"/>
      <c r="D1" s="65"/>
    </row>
    <row r="2" spans="1:4" x14ac:dyDescent="0.2">
      <c r="A2" s="9" t="s">
        <v>217</v>
      </c>
      <c r="B2" s="49" t="s">
        <v>220</v>
      </c>
      <c r="C2" s="29" t="s">
        <v>223</v>
      </c>
      <c r="D2" s="10" t="s">
        <v>4</v>
      </c>
    </row>
    <row r="3" spans="1:4" x14ac:dyDescent="0.2">
      <c r="A3" s="30" t="s">
        <v>218</v>
      </c>
      <c r="B3" s="47" t="s">
        <v>221</v>
      </c>
      <c r="C3" s="31" t="s">
        <v>224</v>
      </c>
      <c r="D3" s="42" t="s">
        <v>227</v>
      </c>
    </row>
    <row r="4" spans="1:4" ht="15" thickBot="1" x14ac:dyDescent="0.25">
      <c r="A4" s="33" t="s">
        <v>219</v>
      </c>
      <c r="B4" s="48" t="s">
        <v>222</v>
      </c>
      <c r="C4" s="32" t="s">
        <v>225</v>
      </c>
      <c r="D4" s="43" t="s">
        <v>228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SDO</vt:lpstr>
      <vt:lpstr>TPDO DEF</vt:lpstr>
      <vt:lpstr>NMT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zhilong wu</dc:creator>
  <cp:lastModifiedBy>Administrator</cp:lastModifiedBy>
  <cp:lastPrinted>2024-05-30T03:12:13Z</cp:lastPrinted>
  <dcterms:created xsi:type="dcterms:W3CDTF">2024-05-29T06:42:34Z</dcterms:created>
  <dcterms:modified xsi:type="dcterms:W3CDTF">2024-06-05T07:42:06Z</dcterms:modified>
</cp:coreProperties>
</file>